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drawings/drawing2.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tables/table5.xml" ContentType="application/vnd.openxmlformats-officedocument.spreadsheetml.table+xml"/>
  <Override PartName="/xl/drawings/drawing3.xml" ContentType="application/vnd.openxmlformats-officedocument.drawing+xml"/>
  <Override PartName="/xl/charts/chart3.xml" ContentType="application/vnd.openxmlformats-officedocument.drawingml.chart+xml"/>
  <Override PartName="/xl/comments1.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5.xml" ContentType="application/vnd.openxmlformats-officedocument.drawing+xml"/>
  <Override PartName="/xl/tables/table12.xml" ContentType="application/vnd.openxmlformats-officedocument.spreadsheetml.table+xml"/>
  <Override PartName="/xl/charts/chart4.xml" ContentType="application/vnd.openxmlformats-officedocument.drawingml.char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drawings/drawing6.xml" ContentType="application/vnd.openxmlformats-officedocument.drawing+xml"/>
  <Override PartName="/xl/tables/table21.xml" ContentType="application/vnd.openxmlformats-officedocument.spreadsheetml.table+xml"/>
  <Override PartName="/xl/charts/chart5.xml" ContentType="application/vnd.openxmlformats-officedocument.drawingml.chart+xml"/>
  <Override PartName="/xl/charts/chart6.xml" ContentType="application/vnd.openxmlformats-officedocument.drawingml.chart+xml"/>
  <Override PartName="/xl/drawings/drawing7.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8.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drawings/drawing9.xml" ContentType="application/vnd.openxmlformats-officedocument.drawing+xml"/>
  <Override PartName="/xl/tables/table27.xml" ContentType="application/vnd.openxmlformats-officedocument.spreadsheetml.tab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licerCaches/slicerCache2.xml" ContentType="application/vnd.ms-excel.slicerCache+xml"/>
  <Override PartName="/xl/slicers/slicer2.xml" ContentType="application/vnd.ms-excel.slicer+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hidePivotFieldList="1"/>
  <bookViews>
    <workbookView xWindow="-110" yWindow="-110" windowWidth="19420" windowHeight="11020" firstSheet="9" activeTab="18"/>
  </bookViews>
  <sheets>
    <sheet name="Basic Repport Card" sheetId="1" r:id="rId1"/>
    <sheet name="Mileage" sheetId="2" r:id="rId2"/>
    <sheet name="Grade &amp; Report Card" sheetId="3" r:id="rId3"/>
    <sheet name="3D Growth Chart" sheetId="4" r:id="rId4"/>
    <sheet name="VLook Up" sheetId="5" r:id="rId5"/>
    <sheet name="Speedometer" sheetId="6" r:id="rId6"/>
    <sheet name="GoalSeak" sheetId="7" r:id="rId7"/>
    <sheet name="Sheet8" sheetId="8" r:id="rId8"/>
    <sheet name="Financial Function" sheetId="9" r:id="rId9"/>
    <sheet name="FF 2" sheetId="10" r:id="rId10"/>
    <sheet name="FF3" sheetId="12" r:id="rId11"/>
    <sheet name="Dep" sheetId="11" r:id="rId12"/>
    <sheet name="TEXT &amp; DATE" sheetId="13" r:id="rId13"/>
    <sheet name="V&amp;H LOOKUP" sheetId="14" r:id="rId14"/>
    <sheet name="VLOOK UP 2" sheetId="15" r:id="rId15"/>
    <sheet name="Balance sheet" sheetId="16" r:id="rId16"/>
    <sheet name="PIVOT TABLE" sheetId="17" r:id="rId17"/>
    <sheet name="PT 2" sheetId="19" r:id="rId18"/>
    <sheet name="Sheet4" sheetId="18" r:id="rId19"/>
    <sheet name="Sheet6" sheetId="20" r:id="rId20"/>
    <sheet name="IF OR AND" sheetId="21" r:id="rId21"/>
    <sheet name="DATABASE FUNCTION" sheetId="22" r:id="rId22"/>
    <sheet name="PAYROLL" sheetId="23" r:id="rId23"/>
    <sheet name="DASHBOARD" sheetId="24" r:id="rId24"/>
    <sheet name="MACROS" sheetId="26" r:id="rId25"/>
    <sheet name="VLOOKUP + CHOOSE" sheetId="28" r:id="rId26"/>
    <sheet name="CHOOSE " sheetId="29" r:id="rId27"/>
    <sheet name="CHARTS" sheetId="30" r:id="rId28"/>
    <sheet name="PAYROLL 2" sheetId="31" r:id="rId29"/>
    <sheet name="SUMIF" sheetId="32" r:id="rId30"/>
    <sheet name="STUDENT REPORT" sheetId="34" r:id="rId31"/>
    <sheet name="Sheet7" sheetId="36" r:id="rId32"/>
  </sheets>
  <definedNames>
    <definedName name="_xlnm._FilterDatabase" localSheetId="23" hidden="1">DASHBOARD!$A$3:$E$13</definedName>
    <definedName name="NativeTimeline_DATE">#N/A</definedName>
    <definedName name="Slicer_PHONE">#N/A</definedName>
    <definedName name="Slicer_SALES_MANAGER">#N/A</definedName>
  </definedNames>
  <calcPr calcId="144525"/>
  <pivotCaches>
    <pivotCache cacheId="0" r:id="rId33"/>
    <pivotCache cacheId="1" r:id="rId34"/>
  </pivotCaches>
  <extLst>
    <ext xmlns:x14="http://schemas.microsoft.com/office/spreadsheetml/2009/9/main" uri="{BBE1A952-AA13-448e-AADC-164F8A28A991}">
      <x14:slicerCaches>
        <x14:slicerCache r:id="rId3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0"/>
      </x15:slicerCaches>
    </ext>
  </extLst>
</workbook>
</file>

<file path=xl/calcChain.xml><?xml version="1.0" encoding="utf-8"?>
<calcChain xmlns="http://schemas.openxmlformats.org/spreadsheetml/2006/main">
  <c r="L4" i="23" l="1"/>
  <c r="L5" i="23"/>
  <c r="L6" i="23"/>
  <c r="L7" i="23"/>
  <c r="L8" i="23"/>
  <c r="L9" i="23"/>
  <c r="L10" i="23"/>
  <c r="L11" i="23"/>
  <c r="L12" i="23"/>
  <c r="L13" i="23"/>
  <c r="E5" i="21" l="1"/>
  <c r="H13" i="1" l="1"/>
  <c r="G13" i="1"/>
  <c r="H12" i="1"/>
  <c r="G12" i="1"/>
  <c r="H11" i="1"/>
  <c r="G11" i="1"/>
  <c r="H10" i="1"/>
  <c r="G10" i="1"/>
  <c r="H9" i="1"/>
  <c r="G9" i="1"/>
  <c r="H8" i="1"/>
  <c r="G8" i="1"/>
  <c r="H7" i="1"/>
  <c r="G7" i="1"/>
  <c r="H6" i="1"/>
  <c r="G6" i="1"/>
  <c r="H5" i="1"/>
  <c r="G5" i="1"/>
  <c r="H4" i="1"/>
  <c r="G4" i="1"/>
  <c r="C6" i="36"/>
  <c r="D2" i="36"/>
  <c r="C2" i="36"/>
  <c r="K26" i="34"/>
  <c r="J26" i="34"/>
  <c r="I26" i="34"/>
  <c r="H26" i="34"/>
  <c r="K25" i="34"/>
  <c r="J25" i="34"/>
  <c r="I25" i="34"/>
  <c r="H25" i="34"/>
  <c r="K24" i="34"/>
  <c r="J24" i="34"/>
  <c r="I24" i="34"/>
  <c r="H24" i="34"/>
  <c r="K23" i="34"/>
  <c r="J23" i="34"/>
  <c r="I23" i="34"/>
  <c r="H23" i="34"/>
  <c r="K22" i="34"/>
  <c r="J22" i="34"/>
  <c r="I22" i="34"/>
  <c r="H22" i="34"/>
  <c r="K21" i="34"/>
  <c r="J21" i="34"/>
  <c r="I21" i="34"/>
  <c r="H21" i="34"/>
  <c r="K20" i="34"/>
  <c r="J20" i="34"/>
  <c r="I20" i="34"/>
  <c r="H20" i="34"/>
  <c r="K19" i="34"/>
  <c r="J19" i="34"/>
  <c r="I19" i="34"/>
  <c r="H19" i="34"/>
  <c r="K18" i="34"/>
  <c r="J18" i="34"/>
  <c r="I18" i="34"/>
  <c r="H18" i="34"/>
  <c r="K17" i="34"/>
  <c r="J17" i="34"/>
  <c r="I17" i="34"/>
  <c r="H17" i="34"/>
  <c r="N16" i="34"/>
  <c r="K16" i="34"/>
  <c r="J16" i="34"/>
  <c r="I16" i="34"/>
  <c r="H16" i="34"/>
  <c r="N15" i="34"/>
  <c r="K15" i="34"/>
  <c r="J15" i="34"/>
  <c r="I15" i="34"/>
  <c r="H15" i="34"/>
  <c r="N14" i="34"/>
  <c r="K14" i="34"/>
  <c r="J14" i="34"/>
  <c r="I14" i="34"/>
  <c r="H14" i="34"/>
  <c r="K13" i="34"/>
  <c r="J13" i="34"/>
  <c r="I13" i="34"/>
  <c r="H13" i="34"/>
  <c r="K12" i="34"/>
  <c r="J12" i="34"/>
  <c r="I12" i="34"/>
  <c r="H12" i="34"/>
  <c r="K11" i="34"/>
  <c r="J11" i="34"/>
  <c r="I11" i="34"/>
  <c r="H11" i="34"/>
  <c r="K10" i="34"/>
  <c r="J10" i="34"/>
  <c r="I10" i="34"/>
  <c r="H10" i="34"/>
  <c r="K9" i="34"/>
  <c r="J9" i="34"/>
  <c r="I9" i="34"/>
  <c r="H9" i="34"/>
  <c r="K8" i="34"/>
  <c r="J8" i="34"/>
  <c r="I8" i="34"/>
  <c r="H8" i="34"/>
  <c r="K7" i="34"/>
  <c r="J7" i="34"/>
  <c r="I7" i="34"/>
  <c r="H7" i="34"/>
  <c r="K6" i="34"/>
  <c r="J6" i="34"/>
  <c r="I6" i="34"/>
  <c r="H6" i="34"/>
  <c r="K5" i="34"/>
  <c r="J5" i="34"/>
  <c r="I5" i="34"/>
  <c r="H5" i="34"/>
  <c r="E45" i="32"/>
  <c r="E44" i="32"/>
  <c r="E43" i="32"/>
  <c r="E42" i="32"/>
  <c r="E41" i="32"/>
  <c r="E40" i="32"/>
  <c r="E39" i="32"/>
  <c r="E38" i="32"/>
  <c r="E37" i="32"/>
  <c r="E36" i="32"/>
  <c r="E35" i="32"/>
  <c r="E34" i="32"/>
  <c r="H33" i="32"/>
  <c r="E33" i="32"/>
  <c r="H32" i="32"/>
  <c r="E32" i="32"/>
  <c r="H31" i="32"/>
  <c r="E31" i="32"/>
  <c r="H30" i="32"/>
  <c r="E30" i="32"/>
  <c r="H29" i="32"/>
  <c r="E29" i="32"/>
  <c r="H28" i="32"/>
  <c r="E28" i="32"/>
  <c r="H27" i="32"/>
  <c r="E27" i="32"/>
  <c r="H26" i="32"/>
  <c r="E26" i="32"/>
  <c r="H25" i="32"/>
  <c r="E25" i="32"/>
  <c r="H24" i="32"/>
  <c r="E24" i="32"/>
  <c r="H23" i="32"/>
  <c r="E23" i="32"/>
  <c r="H22" i="32"/>
  <c r="E22" i="32"/>
  <c r="H21" i="32"/>
  <c r="E21" i="32"/>
  <c r="H20" i="32"/>
  <c r="E20" i="32"/>
  <c r="H19" i="32"/>
  <c r="E19" i="32"/>
  <c r="H18" i="32"/>
  <c r="E18" i="32"/>
  <c r="H17" i="32"/>
  <c r="E17" i="32"/>
  <c r="H16" i="32"/>
  <c r="E16" i="32"/>
  <c r="H15" i="32"/>
  <c r="E15" i="32"/>
  <c r="H14" i="32"/>
  <c r="E14" i="32"/>
  <c r="H13" i="32"/>
  <c r="E13" i="32"/>
  <c r="H12" i="32"/>
  <c r="E12" i="32"/>
  <c r="H11" i="32"/>
  <c r="E11" i="32"/>
  <c r="H10" i="32"/>
  <c r="E10" i="32"/>
  <c r="H9" i="32"/>
  <c r="E9" i="32"/>
  <c r="E8" i="32"/>
  <c r="E7" i="32"/>
  <c r="I6" i="32"/>
  <c r="H6" i="32"/>
  <c r="G6" i="32"/>
  <c r="E6" i="32"/>
  <c r="E5" i="32"/>
  <c r="E4" i="32"/>
  <c r="L25" i="31"/>
  <c r="K25" i="31"/>
  <c r="J25" i="31"/>
  <c r="I25" i="31"/>
  <c r="H25" i="31"/>
  <c r="G25" i="31"/>
  <c r="F25" i="31"/>
  <c r="E25" i="31"/>
  <c r="D25" i="31"/>
  <c r="L24" i="31"/>
  <c r="K24" i="31"/>
  <c r="J24" i="31"/>
  <c r="I24" i="31"/>
  <c r="H24" i="31"/>
  <c r="G24" i="31"/>
  <c r="F24" i="31"/>
  <c r="E24" i="31"/>
  <c r="D24" i="31"/>
  <c r="L23" i="31"/>
  <c r="K23" i="31"/>
  <c r="J23" i="31"/>
  <c r="I23" i="31"/>
  <c r="H23" i="31"/>
  <c r="G23" i="31"/>
  <c r="F23" i="31"/>
  <c r="E23" i="31"/>
  <c r="D23" i="31"/>
  <c r="L22" i="31"/>
  <c r="K22" i="31"/>
  <c r="J22" i="31"/>
  <c r="I22" i="31"/>
  <c r="H22" i="31"/>
  <c r="G22" i="31"/>
  <c r="F22" i="31"/>
  <c r="E22" i="31"/>
  <c r="D22" i="31"/>
  <c r="L21" i="31"/>
  <c r="K21" i="31"/>
  <c r="J21" i="31"/>
  <c r="I21" i="31"/>
  <c r="H21" i="31"/>
  <c r="G21" i="31"/>
  <c r="F21" i="31"/>
  <c r="E21" i="31"/>
  <c r="D21" i="31"/>
  <c r="L20" i="31"/>
  <c r="K20" i="31"/>
  <c r="J20" i="31"/>
  <c r="I20" i="31"/>
  <c r="H20" i="31"/>
  <c r="G20" i="31"/>
  <c r="F20" i="31"/>
  <c r="E20" i="31"/>
  <c r="D20" i="31"/>
  <c r="L19" i="31"/>
  <c r="K19" i="31"/>
  <c r="J19" i="31"/>
  <c r="I19" i="31"/>
  <c r="H19" i="31"/>
  <c r="G19" i="31"/>
  <c r="F19" i="31"/>
  <c r="E19" i="31"/>
  <c r="D19" i="31"/>
  <c r="L18" i="31"/>
  <c r="K18" i="31"/>
  <c r="J18" i="31"/>
  <c r="I18" i="31"/>
  <c r="H18" i="31"/>
  <c r="G18" i="31"/>
  <c r="F18" i="31"/>
  <c r="E18" i="31"/>
  <c r="D18" i="31"/>
  <c r="L17" i="31"/>
  <c r="K17" i="31"/>
  <c r="J17" i="31"/>
  <c r="I17" i="31"/>
  <c r="H17" i="31"/>
  <c r="G17" i="31"/>
  <c r="F17" i="31"/>
  <c r="E17" i="31"/>
  <c r="D17" i="31"/>
  <c r="L16" i="31"/>
  <c r="K16" i="31"/>
  <c r="J16" i="31"/>
  <c r="I16" i="31"/>
  <c r="H16" i="31"/>
  <c r="G16" i="31"/>
  <c r="F16" i="31"/>
  <c r="E16" i="31"/>
  <c r="D16" i="31"/>
  <c r="L15" i="31"/>
  <c r="K15" i="31"/>
  <c r="J15" i="31"/>
  <c r="I15" i="31"/>
  <c r="H15" i="31"/>
  <c r="G15" i="31"/>
  <c r="F15" i="31"/>
  <c r="E15" i="31"/>
  <c r="D15" i="31"/>
  <c r="L14" i="31"/>
  <c r="K14" i="31"/>
  <c r="J14" i="31"/>
  <c r="I14" i="31"/>
  <c r="H14" i="31"/>
  <c r="G14" i="31"/>
  <c r="F14" i="31"/>
  <c r="E14" i="31"/>
  <c r="D14" i="31"/>
  <c r="L13" i="31"/>
  <c r="K13" i="31"/>
  <c r="J13" i="31"/>
  <c r="I13" i="31"/>
  <c r="H13" i="31"/>
  <c r="G13" i="31"/>
  <c r="F13" i="31"/>
  <c r="E13" i="31"/>
  <c r="D13" i="31"/>
  <c r="L12" i="31"/>
  <c r="K12" i="31"/>
  <c r="J12" i="31"/>
  <c r="I12" i="31"/>
  <c r="H12" i="31"/>
  <c r="G12" i="31"/>
  <c r="F12" i="31"/>
  <c r="E12" i="31"/>
  <c r="D12" i="31"/>
  <c r="L11" i="31"/>
  <c r="K11" i="31"/>
  <c r="J11" i="31"/>
  <c r="I11" i="31"/>
  <c r="H11" i="31"/>
  <c r="G11" i="31"/>
  <c r="F11" i="31"/>
  <c r="E11" i="31"/>
  <c r="D11" i="31"/>
  <c r="L10" i="31"/>
  <c r="K10" i="31"/>
  <c r="J10" i="31"/>
  <c r="I10" i="31"/>
  <c r="H10" i="31"/>
  <c r="G10" i="31"/>
  <c r="F10" i="31"/>
  <c r="E10" i="31"/>
  <c r="D10" i="31"/>
  <c r="F23" i="29"/>
  <c r="F22" i="29"/>
  <c r="F21" i="29"/>
  <c r="F20" i="29"/>
  <c r="F19" i="29"/>
  <c r="F18" i="29"/>
  <c r="F17" i="29"/>
  <c r="F16" i="29"/>
  <c r="F15" i="29"/>
  <c r="F14" i="29"/>
  <c r="F13" i="29"/>
  <c r="F12" i="29"/>
  <c r="F11" i="29"/>
  <c r="F10" i="29"/>
  <c r="F9" i="29"/>
  <c r="F8" i="29"/>
  <c r="F7" i="29"/>
  <c r="F6" i="29"/>
  <c r="F5" i="29"/>
  <c r="E19" i="28"/>
  <c r="D19" i="28"/>
  <c r="C19" i="28"/>
  <c r="E18" i="28"/>
  <c r="D18" i="28"/>
  <c r="C18" i="28"/>
  <c r="E17" i="28"/>
  <c r="D17" i="28"/>
  <c r="C17" i="28"/>
  <c r="E16" i="28"/>
  <c r="D16" i="28"/>
  <c r="C16" i="28"/>
  <c r="E15" i="28"/>
  <c r="D15" i="28"/>
  <c r="C15" i="28"/>
  <c r="E14" i="28"/>
  <c r="D14" i="28"/>
  <c r="C14" i="28"/>
  <c r="E13" i="28"/>
  <c r="D13" i="28"/>
  <c r="C13" i="28"/>
  <c r="E12" i="28"/>
  <c r="D12" i="28"/>
  <c r="C12" i="28"/>
  <c r="E11" i="28"/>
  <c r="D11" i="28"/>
  <c r="C11" i="28"/>
  <c r="E10" i="28"/>
  <c r="D10" i="28"/>
  <c r="C10" i="28"/>
  <c r="E9" i="28"/>
  <c r="D9" i="28"/>
  <c r="C9" i="28"/>
  <c r="E8" i="28"/>
  <c r="D8" i="28"/>
  <c r="C8" i="28"/>
  <c r="E7" i="28"/>
  <c r="D7" i="28"/>
  <c r="C7" i="28"/>
  <c r="E6" i="28"/>
  <c r="D6" i="28"/>
  <c r="C6" i="28"/>
  <c r="E5" i="28"/>
  <c r="D5" i="28"/>
  <c r="C5" i="28"/>
  <c r="G10" i="26"/>
  <c r="G9" i="26"/>
  <c r="G8" i="26"/>
  <c r="G7" i="26"/>
  <c r="G6" i="26"/>
  <c r="G5" i="26"/>
  <c r="G4" i="26"/>
  <c r="G3" i="26"/>
  <c r="G2" i="26"/>
  <c r="Q13" i="23"/>
  <c r="P13" i="23"/>
  <c r="O13" i="23"/>
  <c r="N13" i="23"/>
  <c r="J13" i="23"/>
  <c r="H13" i="23"/>
  <c r="G13" i="23"/>
  <c r="F13" i="23"/>
  <c r="E13" i="23"/>
  <c r="D13" i="23"/>
  <c r="C13" i="23"/>
  <c r="Q12" i="23"/>
  <c r="P12" i="23"/>
  <c r="O12" i="23"/>
  <c r="N12" i="23"/>
  <c r="J12" i="23"/>
  <c r="H12" i="23"/>
  <c r="G12" i="23"/>
  <c r="F12" i="23"/>
  <c r="E12" i="23"/>
  <c r="D12" i="23"/>
  <c r="C12" i="23"/>
  <c r="Q11" i="23"/>
  <c r="P11" i="23"/>
  <c r="O11" i="23"/>
  <c r="N11" i="23"/>
  <c r="J11" i="23"/>
  <c r="H11" i="23"/>
  <c r="G11" i="23"/>
  <c r="F11" i="23"/>
  <c r="E11" i="23"/>
  <c r="D11" i="23"/>
  <c r="C11" i="23"/>
  <c r="Q10" i="23"/>
  <c r="P10" i="23"/>
  <c r="O10" i="23"/>
  <c r="N10" i="23"/>
  <c r="J10" i="23"/>
  <c r="H10" i="23"/>
  <c r="G10" i="23"/>
  <c r="F10" i="23"/>
  <c r="E10" i="23"/>
  <c r="D10" i="23"/>
  <c r="C10" i="23"/>
  <c r="Q9" i="23"/>
  <c r="P9" i="23"/>
  <c r="O9" i="23"/>
  <c r="N9" i="23"/>
  <c r="J9" i="23"/>
  <c r="H9" i="23"/>
  <c r="G9" i="23"/>
  <c r="F9" i="23"/>
  <c r="E9" i="23"/>
  <c r="D9" i="23"/>
  <c r="C9" i="23"/>
  <c r="Q8" i="23"/>
  <c r="P8" i="23"/>
  <c r="O8" i="23"/>
  <c r="N8" i="23"/>
  <c r="J8" i="23"/>
  <c r="H8" i="23"/>
  <c r="G8" i="23"/>
  <c r="F8" i="23"/>
  <c r="E8" i="23"/>
  <c r="D8" i="23"/>
  <c r="C8" i="23"/>
  <c r="Q7" i="23"/>
  <c r="P7" i="23"/>
  <c r="O7" i="23"/>
  <c r="N7" i="23"/>
  <c r="J7" i="23"/>
  <c r="H7" i="23"/>
  <c r="G7" i="23"/>
  <c r="F7" i="23"/>
  <c r="E7" i="23"/>
  <c r="D7" i="23"/>
  <c r="C7" i="23"/>
  <c r="Q6" i="23"/>
  <c r="P6" i="23"/>
  <c r="O6" i="23"/>
  <c r="N6" i="23"/>
  <c r="J6" i="23"/>
  <c r="H6" i="23"/>
  <c r="G6" i="23"/>
  <c r="F6" i="23"/>
  <c r="E6" i="23"/>
  <c r="D6" i="23"/>
  <c r="C6" i="23"/>
  <c r="Q5" i="23"/>
  <c r="P5" i="23"/>
  <c r="O5" i="23"/>
  <c r="N5" i="23"/>
  <c r="J5" i="23"/>
  <c r="H5" i="23"/>
  <c r="G5" i="23"/>
  <c r="F5" i="23"/>
  <c r="E5" i="23"/>
  <c r="D5" i="23"/>
  <c r="C5" i="23"/>
  <c r="Q4" i="23"/>
  <c r="P4" i="23"/>
  <c r="O4" i="23"/>
  <c r="N4" i="23"/>
  <c r="J4" i="23"/>
  <c r="H4" i="23"/>
  <c r="G4" i="23"/>
  <c r="F4" i="23"/>
  <c r="E4" i="23"/>
  <c r="D4" i="23"/>
  <c r="C4" i="23"/>
  <c r="D20" i="22"/>
  <c r="D19" i="22"/>
  <c r="D18" i="22"/>
  <c r="D17" i="22"/>
  <c r="D16" i="22"/>
  <c r="D15" i="22"/>
  <c r="D14" i="22"/>
  <c r="D13" i="22"/>
  <c r="D12" i="22"/>
  <c r="D11" i="22"/>
  <c r="D10" i="22"/>
  <c r="D9" i="22"/>
  <c r="D8" i="22"/>
  <c r="D7" i="22"/>
  <c r="D6" i="22"/>
  <c r="P5" i="22"/>
  <c r="O5" i="22"/>
  <c r="N5" i="22"/>
  <c r="M5" i="22"/>
  <c r="L5" i="22"/>
  <c r="D5" i="22"/>
  <c r="F15" i="21"/>
  <c r="E15" i="21"/>
  <c r="D15" i="21"/>
  <c r="F14" i="21"/>
  <c r="E14" i="21"/>
  <c r="D14" i="21"/>
  <c r="F13" i="21"/>
  <c r="E13" i="21"/>
  <c r="D13" i="21"/>
  <c r="F12" i="21"/>
  <c r="E12" i="21"/>
  <c r="D12" i="21"/>
  <c r="F11" i="21"/>
  <c r="E11" i="21"/>
  <c r="D11" i="21"/>
  <c r="F10" i="21"/>
  <c r="E10" i="21"/>
  <c r="D10" i="21"/>
  <c r="F9" i="21"/>
  <c r="E9" i="21"/>
  <c r="D9" i="21"/>
  <c r="F8" i="21"/>
  <c r="E8" i="21"/>
  <c r="D8" i="21"/>
  <c r="F7" i="21"/>
  <c r="E7" i="21"/>
  <c r="D7" i="21"/>
  <c r="F6" i="21"/>
  <c r="E6" i="21"/>
  <c r="D6" i="21"/>
  <c r="F5" i="21"/>
  <c r="D5" i="21"/>
  <c r="G16" i="17"/>
  <c r="G15" i="17"/>
  <c r="G14" i="17"/>
  <c r="G13" i="17"/>
  <c r="G12" i="17"/>
  <c r="G11" i="17"/>
  <c r="G10" i="17"/>
  <c r="G9" i="17"/>
  <c r="G8" i="17"/>
  <c r="G7" i="17"/>
  <c r="G6" i="17"/>
  <c r="G5" i="17"/>
  <c r="G4" i="17"/>
  <c r="G3" i="17"/>
  <c r="G2" i="17"/>
  <c r="F17" i="16"/>
  <c r="F9" i="16"/>
  <c r="H27" i="15"/>
  <c r="H26" i="15"/>
  <c r="H25" i="15"/>
  <c r="H24" i="15"/>
  <c r="E18" i="14"/>
  <c r="E17" i="14"/>
  <c r="E16" i="14"/>
  <c r="E15" i="14"/>
  <c r="E14" i="14"/>
  <c r="E17" i="13"/>
  <c r="E16" i="13"/>
  <c r="B10" i="13"/>
  <c r="C10" i="13" s="1"/>
  <c r="A10" i="13"/>
  <c r="I4" i="13"/>
  <c r="H4" i="13"/>
  <c r="G4" i="13"/>
  <c r="F4" i="13"/>
  <c r="E4" i="13"/>
  <c r="D4" i="13"/>
  <c r="C4" i="13"/>
  <c r="B4" i="13"/>
  <c r="F20" i="11"/>
  <c r="E20" i="11"/>
  <c r="D20" i="11"/>
  <c r="F19" i="11"/>
  <c r="E19" i="11"/>
  <c r="D19" i="11"/>
  <c r="F18" i="11"/>
  <c r="E18" i="11"/>
  <c r="D18" i="11"/>
  <c r="F17" i="11"/>
  <c r="E17" i="11"/>
  <c r="D17" i="11"/>
  <c r="F16" i="11"/>
  <c r="E16" i="11"/>
  <c r="D16" i="11"/>
  <c r="F15" i="11"/>
  <c r="E15" i="11"/>
  <c r="D15" i="11"/>
  <c r="F14" i="11"/>
  <c r="E14" i="11"/>
  <c r="D14" i="11"/>
  <c r="F13" i="11"/>
  <c r="E13" i="11"/>
  <c r="D13" i="11"/>
  <c r="F12" i="11"/>
  <c r="E12" i="11"/>
  <c r="D12" i="11"/>
  <c r="F11" i="11"/>
  <c r="E11" i="11"/>
  <c r="D11" i="11"/>
  <c r="F10" i="11"/>
  <c r="E10" i="11"/>
  <c r="D10" i="11"/>
  <c r="F9" i="11"/>
  <c r="E9" i="11"/>
  <c r="D9" i="11"/>
  <c r="F8" i="11"/>
  <c r="E8" i="11"/>
  <c r="D8" i="11"/>
  <c r="F7" i="11"/>
  <c r="E7" i="11"/>
  <c r="D7" i="11"/>
  <c r="F6" i="11"/>
  <c r="E6" i="11"/>
  <c r="D6" i="11"/>
  <c r="F42" i="12"/>
  <c r="E28" i="12"/>
  <c r="D28" i="12"/>
  <c r="E27" i="12"/>
  <c r="D27" i="12"/>
  <c r="E26" i="12"/>
  <c r="D26" i="12"/>
  <c r="E25" i="12"/>
  <c r="D25" i="12"/>
  <c r="E24" i="12"/>
  <c r="D24" i="12"/>
  <c r="E23" i="12"/>
  <c r="D23" i="12"/>
  <c r="E22" i="12"/>
  <c r="D22" i="12"/>
  <c r="E21" i="12"/>
  <c r="D21" i="12"/>
  <c r="E20" i="12"/>
  <c r="D20" i="12"/>
  <c r="E19" i="12"/>
  <c r="D19" i="12"/>
  <c r="E18" i="12"/>
  <c r="D18" i="12"/>
  <c r="E17" i="12"/>
  <c r="D17" i="12"/>
  <c r="E16" i="12"/>
  <c r="D16" i="12"/>
  <c r="E15" i="12"/>
  <c r="D15" i="12"/>
  <c r="E14" i="12"/>
  <c r="D14" i="12"/>
  <c r="E13" i="12"/>
  <c r="D13" i="12"/>
  <c r="E12" i="12"/>
  <c r="D12" i="12"/>
  <c r="E11" i="12"/>
  <c r="D11" i="12"/>
  <c r="E10" i="12"/>
  <c r="D10" i="12"/>
  <c r="E9" i="12"/>
  <c r="D9" i="12"/>
  <c r="E8" i="12"/>
  <c r="D8" i="12"/>
  <c r="E7" i="12"/>
  <c r="D7" i="12"/>
  <c r="E6" i="12"/>
  <c r="D6" i="12"/>
  <c r="E5" i="12"/>
  <c r="D5" i="12"/>
  <c r="B17" i="10"/>
  <c r="H9" i="10"/>
  <c r="H8" i="10"/>
  <c r="H7" i="10"/>
  <c r="B5" i="10"/>
  <c r="F66" i="9"/>
  <c r="E66" i="9"/>
  <c r="D66" i="9"/>
  <c r="C66" i="9"/>
  <c r="F65" i="9"/>
  <c r="E65" i="9"/>
  <c r="D65" i="9"/>
  <c r="C65" i="9"/>
  <c r="F64" i="9"/>
  <c r="E64" i="9"/>
  <c r="D64" i="9"/>
  <c r="C64" i="9"/>
  <c r="F63" i="9"/>
  <c r="E63" i="9"/>
  <c r="D63" i="9"/>
  <c r="C63" i="9"/>
  <c r="F62" i="9"/>
  <c r="E62" i="9"/>
  <c r="D62" i="9"/>
  <c r="C62" i="9"/>
  <c r="F61" i="9"/>
  <c r="E61" i="9"/>
  <c r="D61" i="9"/>
  <c r="C61" i="9"/>
  <c r="F60" i="9"/>
  <c r="E60" i="9"/>
  <c r="D60" i="9"/>
  <c r="C60" i="9"/>
  <c r="F59" i="9"/>
  <c r="E59" i="9"/>
  <c r="D59" i="9"/>
  <c r="C59" i="9"/>
  <c r="F58" i="9"/>
  <c r="E58" i="9"/>
  <c r="D58" i="9"/>
  <c r="C58" i="9"/>
  <c r="F57" i="9"/>
  <c r="E57" i="9"/>
  <c r="D57" i="9"/>
  <c r="C57" i="9"/>
  <c r="F56" i="9"/>
  <c r="E56" i="9"/>
  <c r="D56" i="9"/>
  <c r="C56" i="9"/>
  <c r="F55" i="9"/>
  <c r="E55" i="9"/>
  <c r="D55" i="9"/>
  <c r="C55" i="9"/>
  <c r="F54" i="9"/>
  <c r="E54" i="9"/>
  <c r="D54" i="9"/>
  <c r="C54" i="9"/>
  <c r="F53" i="9"/>
  <c r="E53" i="9"/>
  <c r="D53" i="9"/>
  <c r="C53" i="9"/>
  <c r="F52" i="9"/>
  <c r="E52" i="9"/>
  <c r="D52" i="9"/>
  <c r="C52" i="9"/>
  <c r="F51" i="9"/>
  <c r="E51" i="9"/>
  <c r="D51" i="9"/>
  <c r="C51" i="9"/>
  <c r="F50" i="9"/>
  <c r="E50" i="9"/>
  <c r="D50" i="9"/>
  <c r="C50" i="9"/>
  <c r="F49" i="9"/>
  <c r="E49" i="9"/>
  <c r="D49" i="9"/>
  <c r="C49" i="9"/>
  <c r="F48" i="9"/>
  <c r="E48" i="9"/>
  <c r="D48" i="9"/>
  <c r="C48" i="9"/>
  <c r="F47" i="9"/>
  <c r="E47" i="9"/>
  <c r="D47" i="9"/>
  <c r="C47" i="9"/>
  <c r="F46" i="9"/>
  <c r="E46" i="9"/>
  <c r="D46" i="9"/>
  <c r="C46" i="9"/>
  <c r="F45" i="9"/>
  <c r="E45" i="9"/>
  <c r="D45" i="9"/>
  <c r="C45" i="9"/>
  <c r="F44" i="9"/>
  <c r="E44" i="9"/>
  <c r="D44" i="9"/>
  <c r="C44" i="9"/>
  <c r="F43" i="9"/>
  <c r="E43" i="9"/>
  <c r="D43" i="9"/>
  <c r="C43" i="9"/>
  <c r="F42" i="9"/>
  <c r="E42" i="9"/>
  <c r="D42" i="9"/>
  <c r="C42" i="9"/>
  <c r="F41" i="9"/>
  <c r="E41" i="9"/>
  <c r="D41" i="9"/>
  <c r="C41" i="9"/>
  <c r="F40" i="9"/>
  <c r="E40" i="9"/>
  <c r="D40" i="9"/>
  <c r="C40" i="9"/>
  <c r="F39" i="9"/>
  <c r="E39" i="9"/>
  <c r="D39" i="9"/>
  <c r="C39" i="9"/>
  <c r="F38" i="9"/>
  <c r="E38" i="9"/>
  <c r="D38" i="9"/>
  <c r="C38" i="9"/>
  <c r="F37" i="9"/>
  <c r="E37" i="9"/>
  <c r="D37" i="9"/>
  <c r="C37" i="9"/>
  <c r="F36" i="9"/>
  <c r="E36" i="9"/>
  <c r="D36" i="9"/>
  <c r="C36" i="9"/>
  <c r="F35" i="9"/>
  <c r="E35" i="9"/>
  <c r="D35" i="9"/>
  <c r="C35" i="9"/>
  <c r="F34" i="9"/>
  <c r="E34" i="9"/>
  <c r="D34" i="9"/>
  <c r="C34" i="9"/>
  <c r="F33" i="9"/>
  <c r="E33" i="9"/>
  <c r="D33" i="9"/>
  <c r="C33" i="9"/>
  <c r="F32" i="9"/>
  <c r="E32" i="9"/>
  <c r="D32" i="9"/>
  <c r="C32" i="9"/>
  <c r="F31" i="9"/>
  <c r="E31" i="9"/>
  <c r="D31" i="9"/>
  <c r="C31" i="9"/>
  <c r="F30" i="9"/>
  <c r="E30" i="9"/>
  <c r="D30" i="9"/>
  <c r="C30" i="9"/>
  <c r="F29" i="9"/>
  <c r="E29" i="9"/>
  <c r="D29" i="9"/>
  <c r="C29" i="9"/>
  <c r="F28" i="9"/>
  <c r="E28" i="9"/>
  <c r="D28" i="9"/>
  <c r="C28" i="9"/>
  <c r="F27" i="9"/>
  <c r="E27" i="9"/>
  <c r="D27" i="9"/>
  <c r="C27" i="9"/>
  <c r="F26" i="9"/>
  <c r="E26" i="9"/>
  <c r="D26" i="9"/>
  <c r="C26" i="9"/>
  <c r="F25" i="9"/>
  <c r="E25" i="9"/>
  <c r="D25" i="9"/>
  <c r="C25" i="9"/>
  <c r="F24" i="9"/>
  <c r="E24" i="9"/>
  <c r="D24" i="9"/>
  <c r="C24" i="9"/>
  <c r="F23" i="9"/>
  <c r="E23" i="9"/>
  <c r="D23" i="9"/>
  <c r="C23" i="9"/>
  <c r="F22" i="9"/>
  <c r="E22" i="9"/>
  <c r="D22" i="9"/>
  <c r="C22" i="9"/>
  <c r="F21" i="9"/>
  <c r="E21" i="9"/>
  <c r="D21" i="9"/>
  <c r="C21" i="9"/>
  <c r="F20" i="9"/>
  <c r="E20" i="9"/>
  <c r="D20" i="9"/>
  <c r="C20" i="9"/>
  <c r="F19" i="9"/>
  <c r="E19" i="9"/>
  <c r="D19" i="9"/>
  <c r="C19" i="9"/>
  <c r="F18" i="9"/>
  <c r="E18" i="9"/>
  <c r="D18" i="9"/>
  <c r="C18" i="9"/>
  <c r="F17" i="9"/>
  <c r="E17" i="9"/>
  <c r="D17" i="9"/>
  <c r="C17" i="9"/>
  <c r="F16" i="9"/>
  <c r="E16" i="9"/>
  <c r="D16" i="9"/>
  <c r="C16" i="9"/>
  <c r="F15" i="9"/>
  <c r="E15" i="9"/>
  <c r="D15" i="9"/>
  <c r="C15" i="9"/>
  <c r="F14" i="9"/>
  <c r="E14" i="9"/>
  <c r="D14" i="9"/>
  <c r="C14" i="9"/>
  <c r="F13" i="9"/>
  <c r="E13" i="9"/>
  <c r="D13" i="9"/>
  <c r="C13" i="9"/>
  <c r="F12" i="9"/>
  <c r="E12" i="9"/>
  <c r="D12" i="9"/>
  <c r="C12" i="9"/>
  <c r="F11" i="9"/>
  <c r="E11" i="9"/>
  <c r="D11" i="9"/>
  <c r="C11" i="9"/>
  <c r="F10" i="9"/>
  <c r="E10" i="9"/>
  <c r="D10" i="9"/>
  <c r="C10" i="9"/>
  <c r="F9" i="9"/>
  <c r="E9" i="9"/>
  <c r="D9" i="9"/>
  <c r="C9" i="9"/>
  <c r="F8" i="9"/>
  <c r="E8" i="9"/>
  <c r="D8" i="9"/>
  <c r="C8" i="9"/>
  <c r="F7" i="9"/>
  <c r="E7" i="9"/>
  <c r="D7" i="9"/>
  <c r="C7" i="9"/>
  <c r="B8" i="8"/>
  <c r="B3" i="8"/>
  <c r="B7" i="7"/>
  <c r="H12" i="5"/>
  <c r="G12" i="5"/>
  <c r="F12" i="5"/>
  <c r="H11" i="5"/>
  <c r="G11" i="5"/>
  <c r="F11" i="5"/>
  <c r="H10" i="5"/>
  <c r="G10" i="5"/>
  <c r="F10" i="5"/>
  <c r="H9" i="5"/>
  <c r="G9" i="5"/>
  <c r="F9" i="5"/>
  <c r="H8" i="5"/>
  <c r="G8" i="5"/>
  <c r="F8" i="5"/>
  <c r="H7" i="5"/>
  <c r="G7" i="5"/>
  <c r="F7" i="5"/>
  <c r="H6" i="5"/>
  <c r="G6" i="5"/>
  <c r="F6" i="5"/>
  <c r="H5" i="5"/>
  <c r="G5" i="5"/>
  <c r="F5" i="5"/>
  <c r="H4" i="5"/>
  <c r="G4" i="5"/>
  <c r="F4" i="5"/>
  <c r="H3" i="5"/>
  <c r="G3" i="5"/>
  <c r="F3" i="5"/>
  <c r="H2" i="5"/>
  <c r="G2" i="5"/>
  <c r="F2" i="5"/>
  <c r="L7" i="3"/>
  <c r="K7" i="3"/>
  <c r="J7" i="3"/>
  <c r="I7" i="3"/>
  <c r="H7" i="3"/>
  <c r="G7" i="3"/>
  <c r="L6" i="3"/>
  <c r="K6" i="3"/>
  <c r="J6" i="3"/>
  <c r="I6" i="3"/>
  <c r="H6" i="3"/>
  <c r="G6" i="3"/>
  <c r="L5" i="3"/>
  <c r="K5" i="3"/>
  <c r="J5" i="3"/>
  <c r="I5" i="3"/>
  <c r="H5" i="3"/>
  <c r="G5" i="3"/>
  <c r="L4" i="3"/>
  <c r="K4" i="3"/>
  <c r="J4" i="3"/>
  <c r="I4" i="3"/>
  <c r="H4" i="3"/>
  <c r="G4" i="3"/>
  <c r="L3" i="3"/>
  <c r="K3" i="3"/>
  <c r="J3" i="3"/>
  <c r="I3" i="3"/>
  <c r="H3" i="3"/>
  <c r="G3" i="3"/>
  <c r="L2" i="3"/>
  <c r="K2" i="3"/>
  <c r="J2" i="3"/>
  <c r="I2" i="3"/>
  <c r="H2" i="3"/>
  <c r="G2" i="3"/>
  <c r="I11" i="2"/>
  <c r="K11" i="2" s="1"/>
  <c r="I10" i="2"/>
  <c r="K10" i="2" s="1"/>
  <c r="I9" i="2"/>
  <c r="K9" i="2" s="1"/>
  <c r="I8" i="2"/>
  <c r="K8" i="2" s="1"/>
  <c r="I7" i="2"/>
  <c r="K7" i="2" s="1"/>
  <c r="I6" i="2"/>
  <c r="K6" i="2" s="1"/>
  <c r="I5" i="2"/>
  <c r="K5" i="2" s="1"/>
  <c r="I4" i="2"/>
  <c r="K4" i="2" s="1"/>
  <c r="I3" i="2"/>
  <c r="K3" i="2" s="1"/>
  <c r="I2" i="2"/>
  <c r="K2" i="2" s="1"/>
  <c r="D10" i="13" l="1"/>
  <c r="E10" i="13"/>
  <c r="F10" i="13" l="1"/>
</calcChain>
</file>

<file path=xl/comments1.xml><?xml version="1.0" encoding="utf-8"?>
<comments xmlns="http://schemas.openxmlformats.org/spreadsheetml/2006/main">
  <authors>
    <author>MAGIC PURPLE</author>
  </authors>
  <commentList>
    <comment ref="C6" authorId="0">
      <text>
        <r>
          <rPr>
            <b/>
            <sz val="9"/>
            <rFont val="Times New Roman"/>
            <family val="1"/>
          </rPr>
          <t>MAGIC PURPLE:</t>
        </r>
      </text>
    </comment>
  </commentList>
</comments>
</file>

<file path=xl/sharedStrings.xml><?xml version="1.0" encoding="utf-8"?>
<sst xmlns="http://schemas.openxmlformats.org/spreadsheetml/2006/main" count="915" uniqueCount="465">
  <si>
    <t>Student name</t>
  </si>
  <si>
    <t>English</t>
  </si>
  <si>
    <t>Hindi</t>
  </si>
  <si>
    <t>Science</t>
  </si>
  <si>
    <t>SST</t>
  </si>
  <si>
    <t>Maths</t>
  </si>
  <si>
    <t>TOTAL</t>
  </si>
  <si>
    <t>Percentage</t>
  </si>
  <si>
    <t xml:space="preserve">Jaspreet </t>
  </si>
  <si>
    <t>Ravneet</t>
  </si>
  <si>
    <t>Vishal</t>
  </si>
  <si>
    <t>Sirjan</t>
  </si>
  <si>
    <t>Ashpreet</t>
  </si>
  <si>
    <t>Simran</t>
  </si>
  <si>
    <t>Sanjay</t>
  </si>
  <si>
    <t>Vijay</t>
  </si>
  <si>
    <t>Rahul</t>
  </si>
  <si>
    <t>Jasdeep</t>
  </si>
  <si>
    <t>CAR NAMES</t>
  </si>
  <si>
    <t>DAY 1</t>
  </si>
  <si>
    <t>DAY 2</t>
  </si>
  <si>
    <t>DAY 3</t>
  </si>
  <si>
    <t>DAY 4</t>
  </si>
  <si>
    <t>DAY 5</t>
  </si>
  <si>
    <t>DAY 6</t>
  </si>
  <si>
    <t>DAY 7</t>
  </si>
  <si>
    <t>Petrol</t>
  </si>
  <si>
    <t>Mileage</t>
  </si>
  <si>
    <t>THAR</t>
  </si>
  <si>
    <t>G Wgon</t>
  </si>
  <si>
    <t>Jaguar</t>
  </si>
  <si>
    <t>Ferrari</t>
  </si>
  <si>
    <t>Lamborghini</t>
  </si>
  <si>
    <t>Defender</t>
  </si>
  <si>
    <t>Audi</t>
  </si>
  <si>
    <t>BMW</t>
  </si>
  <si>
    <t>Rubicon</t>
  </si>
  <si>
    <t>Mercedes</t>
  </si>
  <si>
    <t>Student Name</t>
  </si>
  <si>
    <t>Accountancy</t>
  </si>
  <si>
    <t>BST</t>
  </si>
  <si>
    <t>Econimics</t>
  </si>
  <si>
    <t>IP</t>
  </si>
  <si>
    <t>Average</t>
  </si>
  <si>
    <t>MAX</t>
  </si>
  <si>
    <t>MIN</t>
  </si>
  <si>
    <t>Count</t>
  </si>
  <si>
    <t>Grade</t>
  </si>
  <si>
    <t>Ritik</t>
  </si>
  <si>
    <t>Sandeep</t>
  </si>
  <si>
    <t>Suresh</t>
  </si>
  <si>
    <t>Rishav</t>
  </si>
  <si>
    <t>Bikram</t>
  </si>
  <si>
    <t>YEAR</t>
  </si>
  <si>
    <t>Growth of Computec</t>
  </si>
  <si>
    <t>Name</t>
  </si>
  <si>
    <t>Surname</t>
  </si>
  <si>
    <t>GRADE</t>
  </si>
  <si>
    <t>Nikhil</t>
  </si>
  <si>
    <t>Gupta</t>
  </si>
  <si>
    <t>Jatin</t>
  </si>
  <si>
    <t>Lutha</t>
  </si>
  <si>
    <t>Ayush</t>
  </si>
  <si>
    <t>Nayar</t>
  </si>
  <si>
    <t>Rishabh</t>
  </si>
  <si>
    <t>Singh</t>
  </si>
  <si>
    <t>Saurabh</t>
  </si>
  <si>
    <t>Kashyav</t>
  </si>
  <si>
    <t>Ashish</t>
  </si>
  <si>
    <t>Kumar</t>
  </si>
  <si>
    <t>Pravin</t>
  </si>
  <si>
    <t>Sharma</t>
  </si>
  <si>
    <t>Verma</t>
  </si>
  <si>
    <t>Aman</t>
  </si>
  <si>
    <t>Malik</t>
  </si>
  <si>
    <t>Manish</t>
  </si>
  <si>
    <t>Modi</t>
  </si>
  <si>
    <t>Siddharth</t>
  </si>
  <si>
    <t>Raina</t>
  </si>
  <si>
    <t>Speedometer</t>
  </si>
  <si>
    <t>Pointer</t>
  </si>
  <si>
    <t>Start</t>
  </si>
  <si>
    <t>Value</t>
  </si>
  <si>
    <t>Initial</t>
  </si>
  <si>
    <t>Size</t>
  </si>
  <si>
    <t>Min</t>
  </si>
  <si>
    <t>Max</t>
  </si>
  <si>
    <t>Middle</t>
  </si>
  <si>
    <t>Subject</t>
  </si>
  <si>
    <t>Marks</t>
  </si>
  <si>
    <t>Economics</t>
  </si>
  <si>
    <t>Sale</t>
  </si>
  <si>
    <t>QTY</t>
  </si>
  <si>
    <t>Financial Function</t>
  </si>
  <si>
    <t>Loan</t>
  </si>
  <si>
    <t>ROI</t>
  </si>
  <si>
    <t>Tenure</t>
  </si>
  <si>
    <t>PMT</t>
  </si>
  <si>
    <t>IPMT</t>
  </si>
  <si>
    <t>PPMT</t>
  </si>
  <si>
    <t>Rate</t>
  </si>
  <si>
    <t>EMI</t>
  </si>
  <si>
    <t>Days</t>
  </si>
  <si>
    <t>Laon Amt</t>
  </si>
  <si>
    <t>Loan Amount</t>
  </si>
  <si>
    <t>TENURE</t>
  </si>
  <si>
    <t>CUMIPMT</t>
  </si>
  <si>
    <t>CUMPRINC</t>
  </si>
  <si>
    <t>RECEIVED FUNCTION</t>
  </si>
  <si>
    <t>DATE</t>
  </si>
  <si>
    <t>Received Function</t>
  </si>
  <si>
    <t>Car Value</t>
  </si>
  <si>
    <t>Refurbished</t>
  </si>
  <si>
    <t>Life</t>
  </si>
  <si>
    <t>SLN</t>
  </si>
  <si>
    <t>DB</t>
  </si>
  <si>
    <t>DDB</t>
  </si>
  <si>
    <t>TEXT FUNCTION</t>
  </si>
  <si>
    <t>LOWER</t>
  </si>
  <si>
    <t>UPPER</t>
  </si>
  <si>
    <t>LEFT</t>
  </si>
  <si>
    <t>RIGHT</t>
  </si>
  <si>
    <t>MID</t>
  </si>
  <si>
    <t>LEN</t>
  </si>
  <si>
    <t>TRIM</t>
  </si>
  <si>
    <t>PROPER</t>
  </si>
  <si>
    <t>MAL   MAL</t>
  </si>
  <si>
    <t>Malkeet</t>
  </si>
  <si>
    <t>DATE FUNCTION</t>
  </si>
  <si>
    <t>NOW</t>
  </si>
  <si>
    <t>TODAY</t>
  </si>
  <si>
    <t>MONTH</t>
  </si>
  <si>
    <t>DAY</t>
  </si>
  <si>
    <t>Networkdays</t>
  </si>
  <si>
    <t>DATES</t>
  </si>
  <si>
    <t>HOLIDAYS</t>
  </si>
  <si>
    <t>NETWORKDAYS</t>
  </si>
  <si>
    <t>01-26-2024</t>
  </si>
  <si>
    <t>WITHOUT HOLIDAYS</t>
  </si>
  <si>
    <t>08-15-2024</t>
  </si>
  <si>
    <t>WITH HOLIDAYS</t>
  </si>
  <si>
    <t>10-31-2024</t>
  </si>
  <si>
    <t>VLOOK UP</t>
  </si>
  <si>
    <t>Unit Test</t>
  </si>
  <si>
    <t>TERM 1</t>
  </si>
  <si>
    <t>TERM 2</t>
  </si>
  <si>
    <t>Amandeep</t>
  </si>
  <si>
    <t>Roshan</t>
  </si>
  <si>
    <t>Manpreet</t>
  </si>
  <si>
    <t>VLOOKUP</t>
  </si>
  <si>
    <t>HLOOK UP</t>
  </si>
  <si>
    <t>HLOOKUP</t>
  </si>
  <si>
    <t>Employee Code</t>
  </si>
  <si>
    <t>Employee Nme</t>
  </si>
  <si>
    <t>Employee Surname</t>
  </si>
  <si>
    <t>Department</t>
  </si>
  <si>
    <t>Salary</t>
  </si>
  <si>
    <t>Emp001</t>
  </si>
  <si>
    <t>SUNITA</t>
  </si>
  <si>
    <t>MALIK</t>
  </si>
  <si>
    <t>COMPUTER</t>
  </si>
  <si>
    <t>Emp002</t>
  </si>
  <si>
    <t>HARSHITA</t>
  </si>
  <si>
    <t>KAPOOR</t>
  </si>
  <si>
    <t>ACCOUNTS</t>
  </si>
  <si>
    <t>Emp003</t>
  </si>
  <si>
    <t>KAPIL</t>
  </si>
  <si>
    <t>SHARMA</t>
  </si>
  <si>
    <t>MANAGER</t>
  </si>
  <si>
    <t>Emp004</t>
  </si>
  <si>
    <t>SUDESH</t>
  </si>
  <si>
    <t>LEHRI</t>
  </si>
  <si>
    <t>SALES</t>
  </si>
  <si>
    <t>Emp005</t>
  </si>
  <si>
    <t>HEMANT</t>
  </si>
  <si>
    <t>JUNEJA</t>
  </si>
  <si>
    <t>MARKETING</t>
  </si>
  <si>
    <t>Emp006</t>
  </si>
  <si>
    <t>PREETI</t>
  </si>
  <si>
    <t>KAUR</t>
  </si>
  <si>
    <t>FINANACE</t>
  </si>
  <si>
    <t>Emp007</t>
  </si>
  <si>
    <t>JASBIR</t>
  </si>
  <si>
    <t>SINGH</t>
  </si>
  <si>
    <t>OPERATIONS</t>
  </si>
  <si>
    <t>Emp008</t>
  </si>
  <si>
    <t>GURMAN</t>
  </si>
  <si>
    <t>PURCHASE</t>
  </si>
  <si>
    <t>Emp009</t>
  </si>
  <si>
    <t>SUNIL</t>
  </si>
  <si>
    <t>Emp010</t>
  </si>
  <si>
    <t>AKASH</t>
  </si>
  <si>
    <t>MEHRA</t>
  </si>
  <si>
    <t>HUMAN RESOURCE</t>
  </si>
  <si>
    <t>Emp011</t>
  </si>
  <si>
    <t>PRIYANKA</t>
  </si>
  <si>
    <t>KATARIA</t>
  </si>
  <si>
    <t>Emp012</t>
  </si>
  <si>
    <t>SANJAY</t>
  </si>
  <si>
    <t>BHATT</t>
  </si>
  <si>
    <t>EMP008</t>
  </si>
  <si>
    <t>BALANCE SHEET</t>
  </si>
  <si>
    <t>ASSETS</t>
  </si>
  <si>
    <t>AMOUNT</t>
  </si>
  <si>
    <t>Land &amp; Building</t>
  </si>
  <si>
    <t>Machinery</t>
  </si>
  <si>
    <t>Creditors</t>
  </si>
  <si>
    <t>Cash at Bank</t>
  </si>
  <si>
    <t>Cash in Hand</t>
  </si>
  <si>
    <t>Cash Flow</t>
  </si>
  <si>
    <t>LIABILITIES</t>
  </si>
  <si>
    <t>Rent</t>
  </si>
  <si>
    <t>Debtors</t>
  </si>
  <si>
    <t>Electricity Bill</t>
  </si>
  <si>
    <t>Provision for DD</t>
  </si>
  <si>
    <t>Water Bill</t>
  </si>
  <si>
    <t>SALES MANAGER</t>
  </si>
  <si>
    <t>ITEM NAME</t>
  </si>
  <si>
    <t>COMPANY</t>
  </si>
  <si>
    <t>RATE</t>
  </si>
  <si>
    <t>MANISH</t>
  </si>
  <si>
    <t>INTEL</t>
  </si>
  <si>
    <t>ANUJ</t>
  </si>
  <si>
    <t>LAPTOP</t>
  </si>
  <si>
    <t>DELL</t>
  </si>
  <si>
    <t>HARSH</t>
  </si>
  <si>
    <t>KEYBOARD</t>
  </si>
  <si>
    <t>SAMSUNG</t>
  </si>
  <si>
    <t>SURAJ</t>
  </si>
  <si>
    <t>CPU</t>
  </si>
  <si>
    <t>PRIYA</t>
  </si>
  <si>
    <t>PRINTER</t>
  </si>
  <si>
    <t>ARTI</t>
  </si>
  <si>
    <t>PIVOT TABLE</t>
  </si>
  <si>
    <t>Column Labels</t>
  </si>
  <si>
    <t>Total Sum of QTY</t>
  </si>
  <si>
    <t>Total Sum of AMOUNT</t>
  </si>
  <si>
    <t>Row Labels</t>
  </si>
  <si>
    <t>Sum of QTY</t>
  </si>
  <si>
    <t>Sum of AMOUNT</t>
  </si>
  <si>
    <t>Grand Total</t>
  </si>
  <si>
    <t>S.No.</t>
  </si>
  <si>
    <t>SALESMEN</t>
  </si>
  <si>
    <t>PRODUCT</t>
  </si>
  <si>
    <t>REGION</t>
  </si>
  <si>
    <t xml:space="preserve"> NORTH</t>
  </si>
  <si>
    <t>SOUTH</t>
  </si>
  <si>
    <t>WEST</t>
  </si>
  <si>
    <t>SUDHIR</t>
  </si>
  <si>
    <t>NORTH</t>
  </si>
  <si>
    <t>ANJALI</t>
  </si>
  <si>
    <t>EAST</t>
  </si>
  <si>
    <t>NAVEEN</t>
  </si>
  <si>
    <t>MONITOR</t>
  </si>
  <si>
    <t>PIVOTIC TABLE</t>
  </si>
  <si>
    <t>Sum of SALES</t>
  </si>
  <si>
    <t>IF OR AND</t>
  </si>
  <si>
    <t>CUSTOMER NAME</t>
  </si>
  <si>
    <t>PRODUCT QTY</t>
  </si>
  <si>
    <t>TOTAL BILL</t>
  </si>
  <si>
    <t>IF</t>
  </si>
  <si>
    <t>OR</t>
  </si>
  <si>
    <t>AND</t>
  </si>
  <si>
    <t>SURESH</t>
  </si>
  <si>
    <t>SANDEEP</t>
  </si>
  <si>
    <t>RAKESH</t>
  </si>
  <si>
    <t>YUVI</t>
  </si>
  <si>
    <t>PRYASH</t>
  </si>
  <si>
    <t>POOJA</t>
  </si>
  <si>
    <t>DATA BASE</t>
  </si>
  <si>
    <t>ITEMS</t>
  </si>
  <si>
    <t>PROFIT</t>
  </si>
  <si>
    <t>DMIIN</t>
  </si>
  <si>
    <t>DMAX</t>
  </si>
  <si>
    <t>DAVERAGE</t>
  </si>
  <si>
    <t>DCOUNT</t>
  </si>
  <si>
    <t>DSUM</t>
  </si>
  <si>
    <t>&gt;166</t>
  </si>
  <si>
    <t>&gt;75000</t>
  </si>
  <si>
    <t>REFRIGERATOR</t>
  </si>
  <si>
    <t>PAYROLL</t>
  </si>
  <si>
    <t>EMPLOYEE NAME</t>
  </si>
  <si>
    <t>BASIC SALARY</t>
  </si>
  <si>
    <t>HRA</t>
  </si>
  <si>
    <t>DA</t>
  </si>
  <si>
    <t>TA</t>
  </si>
  <si>
    <t>PF</t>
  </si>
  <si>
    <t>PER DAY SALARY</t>
  </si>
  <si>
    <t>PER HOUR SALARY</t>
  </si>
  <si>
    <t>TOTAL LEAVE</t>
  </si>
  <si>
    <t>LEAVE DEDUCT SALARY</t>
  </si>
  <si>
    <t>HALF DAY</t>
  </si>
  <si>
    <t>HALF DAY SALARY</t>
  </si>
  <si>
    <t>OVER TIME</t>
  </si>
  <si>
    <t>OVERTIME SALARY</t>
  </si>
  <si>
    <t>GROSS  SALARY</t>
  </si>
  <si>
    <t>INCOME TAX</t>
  </si>
  <si>
    <t>NET SALARY</t>
  </si>
  <si>
    <t>ANKIT</t>
  </si>
  <si>
    <t>LAKSH</t>
  </si>
  <si>
    <t>SIYA</t>
  </si>
  <si>
    <t>AMAN</t>
  </si>
  <si>
    <t>VIKAS</t>
  </si>
  <si>
    <t>DASHBOARD</t>
  </si>
  <si>
    <t>SALESMAN</t>
  </si>
  <si>
    <t>ASHISH</t>
  </si>
  <si>
    <t>HP</t>
  </si>
  <si>
    <t>PANKAJ</t>
  </si>
  <si>
    <t>ACER</t>
  </si>
  <si>
    <t>ASUS</t>
  </si>
  <si>
    <t>HARMAN</t>
  </si>
  <si>
    <t>SANJEEV</t>
  </si>
  <si>
    <t>MANDEEP</t>
  </si>
  <si>
    <t>MOUSE</t>
  </si>
  <si>
    <t>CHARGER</t>
  </si>
  <si>
    <t>Column1</t>
  </si>
  <si>
    <t>SALES BY CATGORY</t>
  </si>
  <si>
    <t>UNIT SOLD</t>
  </si>
  <si>
    <t>TABLE</t>
  </si>
  <si>
    <t>COMISSION RATE</t>
  </si>
  <si>
    <t>COMISSION RATE 2</t>
  </si>
  <si>
    <t>NOKIA</t>
  </si>
  <si>
    <t>APPLE</t>
  </si>
  <si>
    <t>Column2</t>
  </si>
  <si>
    <t>CHOOSE FUNCTION</t>
  </si>
  <si>
    <t>SCORE</t>
  </si>
  <si>
    <t>REMARK</t>
  </si>
  <si>
    <t>EXCELLENT</t>
  </si>
  <si>
    <t>STUDENT</t>
  </si>
  <si>
    <t>V.GOOD</t>
  </si>
  <si>
    <t>SACHIN</t>
  </si>
  <si>
    <t>GOOD</t>
  </si>
  <si>
    <t>MAHESH</t>
  </si>
  <si>
    <t>RAJESH</t>
  </si>
  <si>
    <t>POOR</t>
  </si>
  <si>
    <t>KANIKA</t>
  </si>
  <si>
    <t>RAJU</t>
  </si>
  <si>
    <t>RAMESH</t>
  </si>
  <si>
    <t>RAMIA</t>
  </si>
  <si>
    <t>RAJESHWA</t>
  </si>
  <si>
    <t>KARAN</t>
  </si>
  <si>
    <t>ROHIT</t>
  </si>
  <si>
    <t>JACOB</t>
  </si>
  <si>
    <t>NAVYA</t>
  </si>
  <si>
    <t>KAVYA</t>
  </si>
  <si>
    <t>SANTOSH</t>
  </si>
  <si>
    <t>CHARTS</t>
  </si>
  <si>
    <t>TARGET</t>
  </si>
  <si>
    <t>JAN</t>
  </si>
  <si>
    <t>FEB</t>
  </si>
  <si>
    <t>MAR</t>
  </si>
  <si>
    <t>APR</t>
  </si>
  <si>
    <t>MAY</t>
  </si>
  <si>
    <t>JUN</t>
  </si>
  <si>
    <t>JUL</t>
  </si>
  <si>
    <t>AUG</t>
  </si>
  <si>
    <t>SEP</t>
  </si>
  <si>
    <t>OCT</t>
  </si>
  <si>
    <t>NOV</t>
  </si>
  <si>
    <t>DEC</t>
  </si>
  <si>
    <t>CATEGORY</t>
  </si>
  <si>
    <t>BASIC</t>
  </si>
  <si>
    <t>IT</t>
  </si>
  <si>
    <t>MED</t>
  </si>
  <si>
    <t>NAME</t>
  </si>
  <si>
    <t>HRA(Y/N)</t>
  </si>
  <si>
    <t>GROSS</t>
  </si>
  <si>
    <t>NET</t>
  </si>
  <si>
    <t>A</t>
  </si>
  <si>
    <t>Y</t>
  </si>
  <si>
    <t>B</t>
  </si>
  <si>
    <t>N</t>
  </si>
  <si>
    <t>C</t>
  </si>
  <si>
    <t>D</t>
  </si>
  <si>
    <t>E</t>
  </si>
  <si>
    <t>F</t>
  </si>
  <si>
    <t>G</t>
  </si>
  <si>
    <t>H</t>
  </si>
  <si>
    <t>I</t>
  </si>
  <si>
    <t>J</t>
  </si>
  <si>
    <t>K</t>
  </si>
  <si>
    <t>L</t>
  </si>
  <si>
    <t>M</t>
  </si>
  <si>
    <t>SUMIF</t>
  </si>
  <si>
    <t>SALES MAN</t>
  </si>
  <si>
    <t>ITEM</t>
  </si>
  <si>
    <t>SOLD ITEM</t>
  </si>
  <si>
    <t>TOTAL SALES (Rs)</t>
  </si>
  <si>
    <t>VICKY</t>
  </si>
  <si>
    <t>TOTAL SALES OF COMPUTER</t>
  </si>
  <si>
    <t>TOTAL SALES OF OVEN</t>
  </si>
  <si>
    <t>TOTAL SALES OF VCR</t>
  </si>
  <si>
    <t>HARJEET</t>
  </si>
  <si>
    <t>PRAMOD</t>
  </si>
  <si>
    <t>OVEN</t>
  </si>
  <si>
    <t>AMIT</t>
  </si>
  <si>
    <t>TOTAL SALES</t>
  </si>
  <si>
    <t>VCR</t>
  </si>
  <si>
    <t>ARJUN</t>
  </si>
  <si>
    <t>REEMA</t>
  </si>
  <si>
    <t>KUNAL</t>
  </si>
  <si>
    <t>DEVINDER</t>
  </si>
  <si>
    <t>AKHIL</t>
  </si>
  <si>
    <t>MUKESH</t>
  </si>
  <si>
    <t>ANIL</t>
  </si>
  <si>
    <t>GEETA</t>
  </si>
  <si>
    <t>MONU</t>
  </si>
  <si>
    <t>STEREO</t>
  </si>
  <si>
    <t>SONU</t>
  </si>
  <si>
    <t>FIROZ</t>
  </si>
  <si>
    <t>SATISH</t>
  </si>
  <si>
    <t>GOLU</t>
  </si>
  <si>
    <t>SAMEER</t>
  </si>
  <si>
    <t>RAVI</t>
  </si>
  <si>
    <t>RAJ</t>
  </si>
  <si>
    <t>ARUN</t>
  </si>
  <si>
    <t>BOBBY</t>
  </si>
  <si>
    <t>STUDENT REPORT</t>
  </si>
  <si>
    <t>CLASS</t>
  </si>
  <si>
    <t>HINDI</t>
  </si>
  <si>
    <t>ENGLISH</t>
  </si>
  <si>
    <t>MATHS</t>
  </si>
  <si>
    <t>SCIENCE</t>
  </si>
  <si>
    <t>S.S.T</t>
  </si>
  <si>
    <t>TOTAL MARKS</t>
  </si>
  <si>
    <t>AVERAGE</t>
  </si>
  <si>
    <t>RANK</t>
  </si>
  <si>
    <t>AVINASH</t>
  </si>
  <si>
    <t>XII</t>
  </si>
  <si>
    <t>X</t>
  </si>
  <si>
    <t>VI</t>
  </si>
  <si>
    <t>VII</t>
  </si>
  <si>
    <t>BALVINDER</t>
  </si>
  <si>
    <t>GURJAS</t>
  </si>
  <si>
    <t>XI</t>
  </si>
  <si>
    <t>HARMEET</t>
  </si>
  <si>
    <t>VIII</t>
  </si>
  <si>
    <t>KAMAL</t>
  </si>
  <si>
    <t>IX</t>
  </si>
  <si>
    <t>KOMAL</t>
  </si>
  <si>
    <t>STUDENTS WITH A GRADE</t>
  </si>
  <si>
    <t>MANPREET</t>
  </si>
  <si>
    <t>STUDENTS WITH B GRADE</t>
  </si>
  <si>
    <t>MANNU</t>
  </si>
  <si>
    <t>TOTAL STUDENTS</t>
  </si>
  <si>
    <t>PRAVLEEN</t>
  </si>
  <si>
    <t>RINKU</t>
  </si>
  <si>
    <t>SIMRAN</t>
  </si>
  <si>
    <t>TAPU</t>
  </si>
  <si>
    <t>VIJAY</t>
  </si>
  <si>
    <t>VINAYAK</t>
  </si>
  <si>
    <t>YUVRAJ</t>
  </si>
  <si>
    <t>FIND</t>
  </si>
  <si>
    <t>SEARCH</t>
  </si>
  <si>
    <t>MALKEET</t>
  </si>
  <si>
    <t xml:space="preserve"> </t>
  </si>
  <si>
    <t>BASIC REPORTCARD</t>
  </si>
  <si>
    <t>BITTOO</t>
  </si>
  <si>
    <t>REPORT CARD</t>
  </si>
  <si>
    <t>SLICER</t>
  </si>
  <si>
    <t>PHONE</t>
  </si>
  <si>
    <t>OPPO</t>
  </si>
  <si>
    <t>VIVO</t>
  </si>
  <si>
    <t>MOTOROLA</t>
  </si>
  <si>
    <t>ONEPLUS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</si>
</sst>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8" formatCode="&quot;₹&quot;\ #,##0.00;[Red]&quot;₹&quot;\ \-#,##0.00"/>
  </numFmts>
  <fonts count="2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i/>
      <sz val="16"/>
      <color theme="1"/>
      <name val="Calibri"/>
      <family val="2"/>
      <scheme val="minor"/>
    </font>
    <font>
      <b/>
      <i/>
      <sz val="20"/>
      <color theme="1"/>
      <name val="Calibri"/>
      <family val="2"/>
      <scheme val="minor"/>
    </font>
    <font>
      <b/>
      <i/>
      <sz val="11"/>
      <color theme="1"/>
      <name val="Calibri"/>
      <family val="2"/>
      <scheme val="minor"/>
    </font>
    <font>
      <b/>
      <i/>
      <sz val="12"/>
      <color theme="1"/>
      <name val="Calibri"/>
      <family val="2"/>
      <scheme val="minor"/>
    </font>
    <font>
      <b/>
      <sz val="11"/>
      <color theme="1"/>
      <name val="Calibri"/>
      <family val="2"/>
      <scheme val="minor"/>
    </font>
    <font>
      <b/>
      <i/>
      <sz val="22"/>
      <color theme="1"/>
      <name val="Calibri"/>
      <family val="2"/>
      <scheme val="minor"/>
    </font>
    <font>
      <i/>
      <sz val="11"/>
      <color theme="1"/>
      <name val="Calibri"/>
      <family val="2"/>
      <scheme val="minor"/>
    </font>
    <font>
      <sz val="20"/>
      <color theme="1"/>
      <name val="Calibri"/>
      <family val="2"/>
      <scheme val="minor"/>
    </font>
    <font>
      <b/>
      <sz val="20"/>
      <color theme="1"/>
      <name val="Calibri"/>
      <family val="2"/>
      <scheme val="minor"/>
    </font>
    <font>
      <b/>
      <sz val="18"/>
      <color theme="1"/>
      <name val="Calibri"/>
      <family val="2"/>
      <scheme val="minor"/>
    </font>
    <font>
      <sz val="24"/>
      <color theme="1"/>
      <name val="Calibri"/>
      <family val="2"/>
      <scheme val="minor"/>
    </font>
    <font>
      <sz val="22"/>
      <color theme="1"/>
      <name val="Calibri"/>
      <family val="2"/>
      <scheme val="minor"/>
    </font>
    <font>
      <sz val="18"/>
      <color theme="1"/>
      <name val="Calibri"/>
      <family val="2"/>
      <scheme val="minor"/>
    </font>
    <font>
      <b/>
      <sz val="11"/>
      <color theme="0"/>
      <name val="Calibri"/>
      <family val="2"/>
      <scheme val="minor"/>
    </font>
    <font>
      <sz val="11"/>
      <name val="Calibri"/>
      <family val="2"/>
      <scheme val="minor"/>
    </font>
    <font>
      <b/>
      <sz val="9"/>
      <name val="Times New Roman"/>
      <family val="1"/>
    </font>
    <font>
      <sz val="18"/>
      <color theme="1"/>
      <name val="Aharoni"/>
      <charset val="177"/>
    </font>
    <font>
      <sz val="8"/>
      <name val="Calibri"/>
      <family val="2"/>
      <scheme val="minor"/>
    </font>
    <font>
      <sz val="12"/>
      <color theme="1"/>
      <name val="Aharoni"/>
      <charset val="177"/>
    </font>
    <font>
      <sz val="11"/>
      <color theme="1"/>
      <name val="Calibri"/>
      <family val="2"/>
      <charset val="134"/>
      <scheme val="minor"/>
    </font>
  </fonts>
  <fills count="8">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4"/>
        <bgColor theme="4"/>
      </patternFill>
    </fill>
    <fill>
      <patternFill patternType="solid">
        <fgColor theme="4" tint="0.79979857783745845"/>
        <bgColor theme="4" tint="0.79979857783745845"/>
      </patternFill>
    </fill>
    <fill>
      <patternFill patternType="solid">
        <fgColor rgb="FFFFFF00"/>
        <bgColor indexed="64"/>
      </patternFill>
    </fill>
    <fill>
      <patternFill patternType="solid">
        <fgColor rgb="FF00B0F0"/>
        <bgColor indexed="64"/>
      </patternFill>
    </fill>
  </fills>
  <borders count="3">
    <border>
      <left/>
      <right/>
      <top/>
      <bottom/>
      <diagonal/>
    </border>
    <border>
      <left style="thin">
        <color theme="4" tint="0.39979247413556324"/>
      </left>
      <right/>
      <top style="thin">
        <color theme="4" tint="0.39979247413556324"/>
      </top>
      <bottom style="thin">
        <color theme="4" tint="0.39979247413556324"/>
      </bottom>
      <diagonal/>
    </border>
    <border>
      <left/>
      <right style="thin">
        <color theme="4" tint="0.39979247413556324"/>
      </right>
      <top style="thin">
        <color theme="4" tint="0.39979247413556324"/>
      </top>
      <bottom style="thin">
        <color theme="4" tint="0.39979247413556324"/>
      </bottom>
      <diagonal/>
    </border>
  </borders>
  <cellStyleXfs count="1">
    <xf numFmtId="0" fontId="0" fillId="0" borderId="0"/>
  </cellStyleXfs>
  <cellXfs count="52">
    <xf numFmtId="0" fontId="0" fillId="0" borderId="0" xfId="0"/>
    <xf numFmtId="9" fontId="0" fillId="0" borderId="0" xfId="0" applyNumberFormat="1"/>
    <xf numFmtId="0" fontId="6" fillId="0" borderId="0" xfId="0" applyFont="1"/>
    <xf numFmtId="1" fontId="0" fillId="0" borderId="0" xfId="0" applyNumberFormat="1"/>
    <xf numFmtId="0" fontId="8" fillId="0" borderId="0" xfId="0" applyFont="1"/>
    <xf numFmtId="14" fontId="0" fillId="0" borderId="0" xfId="0" applyNumberFormat="1"/>
    <xf numFmtId="10" fontId="0" fillId="0" borderId="0" xfId="0" applyNumberFormat="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left" indent="1"/>
    </xf>
    <xf numFmtId="0" fontId="0" fillId="0" borderId="0" xfId="0" applyAlignment="1">
      <alignment horizontal="left" indent="2"/>
    </xf>
    <xf numFmtId="0" fontId="13" fillId="0" borderId="0" xfId="0" applyFont="1"/>
    <xf numFmtId="22" fontId="0" fillId="0" borderId="0" xfId="0" applyNumberFormat="1"/>
    <xf numFmtId="8" fontId="0" fillId="0" borderId="0" xfId="0" applyNumberFormat="1"/>
    <xf numFmtId="0" fontId="17" fillId="4" borderId="1" xfId="0" applyFont="1" applyFill="1" applyBorder="1"/>
    <xf numFmtId="0" fontId="17" fillId="4" borderId="2" xfId="0" applyFont="1" applyFill="1" applyBorder="1"/>
    <xf numFmtId="8" fontId="0" fillId="3" borderId="0" xfId="0" applyNumberFormat="1" applyFill="1"/>
    <xf numFmtId="0" fontId="0" fillId="5" borderId="1" xfId="0" applyFill="1" applyBorder="1"/>
    <xf numFmtId="8" fontId="0" fillId="6" borderId="2" xfId="0" applyNumberFormat="1" applyFill="1" applyBorder="1"/>
    <xf numFmtId="0" fontId="0" fillId="0" borderId="1" xfId="0" applyBorder="1"/>
    <xf numFmtId="8" fontId="0" fillId="0" borderId="0" xfId="0" applyNumberFormat="1" applyAlignment="1">
      <alignment horizontal="center"/>
    </xf>
    <xf numFmtId="0" fontId="18" fillId="7" borderId="0" xfId="0" applyFont="1" applyFill="1"/>
    <xf numFmtId="0" fontId="0" fillId="7" borderId="0" xfId="0" applyFill="1"/>
    <xf numFmtId="0" fontId="0" fillId="6" borderId="0" xfId="0" applyFill="1"/>
    <xf numFmtId="0" fontId="3" fillId="0" borderId="0" xfId="0" applyFont="1"/>
    <xf numFmtId="0" fontId="10" fillId="0" borderId="0" xfId="0" applyFont="1"/>
    <xf numFmtId="0" fontId="11" fillId="3" borderId="0" xfId="0" applyFont="1" applyFill="1"/>
    <xf numFmtId="0" fontId="23" fillId="0" borderId="0" xfId="0" applyFont="1"/>
    <xf numFmtId="0" fontId="1" fillId="0" borderId="0" xfId="0" applyFont="1"/>
    <xf numFmtId="14" fontId="1" fillId="0" borderId="0" xfId="0" applyNumberFormat="1" applyFont="1"/>
    <xf numFmtId="0" fontId="20" fillId="3" borderId="0" xfId="0" applyFont="1" applyFill="1" applyAlignment="1">
      <alignment horizontal="center"/>
    </xf>
    <xf numFmtId="0" fontId="11" fillId="0" borderId="0" xfId="0" applyFont="1" applyAlignment="1">
      <alignment horizontal="center"/>
    </xf>
    <xf numFmtId="0" fontId="0" fillId="0" borderId="0" xfId="0" applyAlignment="1">
      <alignment horizontal="center"/>
    </xf>
    <xf numFmtId="0" fontId="22" fillId="2" borderId="0" xfId="0" applyFont="1" applyFill="1" applyAlignment="1">
      <alignment horizontal="center"/>
    </xf>
    <xf numFmtId="0" fontId="0" fillId="2" borderId="0" xfId="0" applyFill="1" applyAlignment="1">
      <alignment horizontal="center"/>
    </xf>
    <xf numFmtId="0" fontId="11" fillId="2" borderId="0" xfId="0" applyFont="1" applyFill="1" applyAlignment="1">
      <alignment horizontal="center"/>
    </xf>
    <xf numFmtId="2" fontId="0" fillId="0" borderId="0" xfId="0" applyNumberFormat="1" applyAlignment="1">
      <alignment horizontal="center"/>
    </xf>
    <xf numFmtId="0" fontId="16" fillId="2" borderId="0" xfId="0" applyFont="1" applyFill="1" applyAlignment="1">
      <alignment horizontal="center"/>
    </xf>
    <xf numFmtId="0" fontId="14" fillId="2" borderId="0" xfId="0" applyFont="1" applyFill="1" applyAlignment="1">
      <alignment horizontal="center"/>
    </xf>
    <xf numFmtId="0" fontId="15" fillId="2" borderId="0" xfId="0" applyFont="1" applyFill="1" applyAlignment="1">
      <alignment horizontal="center"/>
    </xf>
    <xf numFmtId="0" fontId="8" fillId="2" borderId="0" xfId="0" applyFont="1" applyFill="1" applyAlignment="1">
      <alignment horizontal="center"/>
    </xf>
    <xf numFmtId="0" fontId="13" fillId="0" borderId="0" xfId="0" applyFont="1" applyAlignment="1">
      <alignment horizontal="center"/>
    </xf>
    <xf numFmtId="0" fontId="12" fillId="2" borderId="0" xfId="0" applyFont="1" applyFill="1" applyAlignment="1">
      <alignment horizontal="center"/>
    </xf>
    <xf numFmtId="0" fontId="2" fillId="0" borderId="0" xfId="0" applyFont="1" applyAlignment="1">
      <alignment horizontal="center"/>
    </xf>
    <xf numFmtId="0" fontId="12" fillId="0" borderId="0" xfId="0" applyFont="1" applyAlignment="1">
      <alignment horizontal="center"/>
    </xf>
    <xf numFmtId="0" fontId="9" fillId="2" borderId="0" xfId="0" applyFont="1" applyFill="1" applyAlignment="1">
      <alignment horizontal="center"/>
    </xf>
    <xf numFmtId="0" fontId="11" fillId="3" borderId="0" xfId="0" applyFont="1" applyFill="1" applyAlignment="1">
      <alignment horizontal="center"/>
    </xf>
    <xf numFmtId="0" fontId="10" fillId="2" borderId="0" xfId="0" applyFont="1" applyFill="1"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cellXfs>
  <cellStyles count="1">
    <cellStyle name="Normal" xfId="0" builtinId="0"/>
  </cellStyles>
  <dxfs count="75">
    <dxf>
      <numFmt numFmtId="0" formatCode="General"/>
    </dxf>
    <dxf>
      <numFmt numFmtId="0" formatCode="General"/>
    </dxf>
    <dxf>
      <numFmt numFmtId="0" formatCode="General"/>
    </dxf>
    <dxf>
      <numFmt numFmtId="0" formatCode="General"/>
    </dxf>
    <dxf>
      <font>
        <b val="0"/>
        <i val="0"/>
        <strike val="0"/>
        <u val="none"/>
        <sz val="11"/>
        <color theme="1"/>
        <name val="Calibri"/>
        <scheme val="none"/>
      </font>
    </dxf>
    <dxf>
      <font>
        <b val="0"/>
        <i val="0"/>
        <strike val="0"/>
        <u val="none"/>
        <sz val="11"/>
        <color theme="1"/>
        <name val="Calibri"/>
        <scheme val="none"/>
      </font>
    </dxf>
    <dxf>
      <font>
        <color rgb="FF006100"/>
      </font>
      <fill>
        <patternFill patternType="solid">
          <bgColor rgb="FFC6EFCE"/>
        </patternFill>
      </fill>
    </dxf>
    <dxf>
      <fill>
        <patternFill patternType="solid">
          <bgColor theme="8"/>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b val="0"/>
        <i val="0"/>
        <strike val="0"/>
        <u val="none"/>
        <sz val="11"/>
        <color theme="1"/>
        <name val="Calibri"/>
        <scheme val="none"/>
      </font>
    </dxf>
    <dxf>
      <numFmt numFmtId="0" formatCode="General"/>
    </dxf>
    <dxf>
      <numFmt numFmtId="0" formatCode="General"/>
    </dxf>
    <dxf>
      <font>
        <b val="0"/>
        <i val="0"/>
        <strike val="0"/>
        <u val="none"/>
        <sz val="11"/>
        <color theme="1"/>
        <name val="Calibri"/>
        <scheme val="none"/>
      </font>
    </dxf>
    <dxf>
      <font>
        <b val="0"/>
        <i val="0"/>
        <strike val="0"/>
        <u val="none"/>
        <sz val="11"/>
        <color theme="1"/>
        <name val="Calibri"/>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numFmt numFmtId="0" formatCode="General"/>
    </dxf>
    <dxf>
      <numFmt numFmtId="0" formatCode="General"/>
    </dxf>
    <dxf>
      <fill>
        <patternFill patternType="solid">
          <bgColor theme="4"/>
        </patternFill>
      </fill>
    </dxf>
    <dxf>
      <numFmt numFmtId="13" formatCode="0%"/>
    </dxf>
    <dxf>
      <numFmt numFmtId="13" formatCode="0%"/>
    </dxf>
    <dxf>
      <numFmt numFmtId="0" formatCode="Genera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9" formatCode="dd/mm/yyyy"/>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numFmt numFmtId="19" formatCode="dd/mm/yyyy"/>
    </dxf>
    <dxf>
      <font>
        <b val="0"/>
        <i val="0"/>
        <strike val="0"/>
        <u val="none"/>
        <sz val="11"/>
        <color theme="1"/>
        <name val="Calibri"/>
        <scheme val="none"/>
      </font>
    </dxf>
    <dxf>
      <numFmt numFmtId="0" formatCode="General"/>
      <fill>
        <patternFill patternType="solid">
          <bgColor rgb="FFFFFF00"/>
        </patternFill>
      </fil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42"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40"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1.xml"/><Relationship Id="rId43"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COLUMN CARD</a:t>
            </a:r>
          </a:p>
          <a:p>
            <a:pPr>
              <a:defRPr sz="1800" b="1" i="0" u="none" strike="noStrike" kern="1200" baseline="0">
                <a:solidFill>
                  <a:schemeClr val="dk1">
                    <a:lumMod val="75000"/>
                    <a:lumOff val="25000"/>
                  </a:schemeClr>
                </a:solidFill>
                <a:latin typeface="+mn-lt"/>
                <a:ea typeface="+mn-ea"/>
                <a:cs typeface="+mn-cs"/>
              </a:defRPr>
            </a:pPr>
            <a:endParaRPr lang="en-IN"/>
          </a:p>
        </c:rich>
      </c:tx>
      <c:layout/>
      <c:overlay val="0"/>
      <c:spPr>
        <a:noFill/>
        <a:ln>
          <a:noFill/>
        </a:ln>
        <a:effectLst/>
      </c:spPr>
    </c:title>
    <c:autoTitleDeleted val="0"/>
    <c:plotArea>
      <c:layout/>
      <c:barChart>
        <c:barDir val="col"/>
        <c:grouping val="clustered"/>
        <c:varyColors val="0"/>
        <c:ser>
          <c:idx val="0"/>
          <c:order val="0"/>
          <c:tx>
            <c:strRef>
              <c:f>'Grade &amp; Report Card'!$B$1</c:f>
              <c:strCache>
                <c:ptCount val="1"/>
                <c:pt idx="0">
                  <c:v>English</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'Grade &amp; Report Card'!$A$2:$A$7</c:f>
              <c:strCache>
                <c:ptCount val="6"/>
                <c:pt idx="0">
                  <c:v>Ritik</c:v>
                </c:pt>
                <c:pt idx="1">
                  <c:v>Sandeep</c:v>
                </c:pt>
                <c:pt idx="2">
                  <c:v>Suresh</c:v>
                </c:pt>
                <c:pt idx="3">
                  <c:v>Sirjan</c:v>
                </c:pt>
                <c:pt idx="4">
                  <c:v>Rishav</c:v>
                </c:pt>
                <c:pt idx="5">
                  <c:v>Bikram</c:v>
                </c:pt>
              </c:strCache>
            </c:strRef>
          </c:cat>
          <c:val>
            <c:numRef>
              <c:f>'Grade &amp; Report Card'!$B$2:$B$7</c:f>
              <c:numCache>
                <c:formatCode>General</c:formatCode>
                <c:ptCount val="6"/>
                <c:pt idx="0">
                  <c:v>48</c:v>
                </c:pt>
                <c:pt idx="1">
                  <c:v>74</c:v>
                </c:pt>
                <c:pt idx="2">
                  <c:v>72</c:v>
                </c:pt>
                <c:pt idx="3">
                  <c:v>58</c:v>
                </c:pt>
                <c:pt idx="4">
                  <c:v>75</c:v>
                </c:pt>
                <c:pt idx="5">
                  <c:v>25</c:v>
                </c:pt>
              </c:numCache>
            </c:numRef>
          </c:val>
          <c:extLst xmlns:c16r2="http://schemas.microsoft.com/office/drawing/2015/06/chart">
            <c:ext xmlns:c16="http://schemas.microsoft.com/office/drawing/2014/chart" uri="{C3380CC4-5D6E-409C-BE32-E72D297353CC}">
              <c16:uniqueId val="{00000000-22B7-43DF-AE13-CCE4467B4C6D}"/>
            </c:ext>
          </c:extLst>
        </c:ser>
        <c:ser>
          <c:idx val="1"/>
          <c:order val="1"/>
          <c:tx>
            <c:strRef>
              <c:f>'Grade &amp; Report Card'!$C$1</c:f>
              <c:strCache>
                <c:ptCount val="1"/>
                <c:pt idx="0">
                  <c:v>Accountancy</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'Grade &amp; Report Card'!$A$2:$A$7</c:f>
              <c:strCache>
                <c:ptCount val="6"/>
                <c:pt idx="0">
                  <c:v>Ritik</c:v>
                </c:pt>
                <c:pt idx="1">
                  <c:v>Sandeep</c:v>
                </c:pt>
                <c:pt idx="2">
                  <c:v>Suresh</c:v>
                </c:pt>
                <c:pt idx="3">
                  <c:v>Sirjan</c:v>
                </c:pt>
                <c:pt idx="4">
                  <c:v>Rishav</c:v>
                </c:pt>
                <c:pt idx="5">
                  <c:v>Bikram</c:v>
                </c:pt>
              </c:strCache>
            </c:strRef>
          </c:cat>
          <c:val>
            <c:numRef>
              <c:f>'Grade &amp; Report Card'!$C$2:$C$7</c:f>
              <c:numCache>
                <c:formatCode>General</c:formatCode>
                <c:ptCount val="6"/>
                <c:pt idx="0">
                  <c:v>62</c:v>
                </c:pt>
                <c:pt idx="1">
                  <c:v>59</c:v>
                </c:pt>
                <c:pt idx="2">
                  <c:v>87</c:v>
                </c:pt>
                <c:pt idx="3">
                  <c:v>90</c:v>
                </c:pt>
                <c:pt idx="4">
                  <c:v>79</c:v>
                </c:pt>
                <c:pt idx="5">
                  <c:v>35</c:v>
                </c:pt>
              </c:numCache>
            </c:numRef>
          </c:val>
          <c:extLst xmlns:c16r2="http://schemas.microsoft.com/office/drawing/2015/06/chart">
            <c:ext xmlns:c16="http://schemas.microsoft.com/office/drawing/2014/chart" uri="{C3380CC4-5D6E-409C-BE32-E72D297353CC}">
              <c16:uniqueId val="{00000001-22B7-43DF-AE13-CCE4467B4C6D}"/>
            </c:ext>
          </c:extLst>
        </c:ser>
        <c:ser>
          <c:idx val="2"/>
          <c:order val="2"/>
          <c:tx>
            <c:strRef>
              <c:f>'Grade &amp; Report Card'!$D$1</c:f>
              <c:strCache>
                <c:ptCount val="1"/>
                <c:pt idx="0">
                  <c:v>BST</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'Grade &amp; Report Card'!$A$2:$A$7</c:f>
              <c:strCache>
                <c:ptCount val="6"/>
                <c:pt idx="0">
                  <c:v>Ritik</c:v>
                </c:pt>
                <c:pt idx="1">
                  <c:v>Sandeep</c:v>
                </c:pt>
                <c:pt idx="2">
                  <c:v>Suresh</c:v>
                </c:pt>
                <c:pt idx="3">
                  <c:v>Sirjan</c:v>
                </c:pt>
                <c:pt idx="4">
                  <c:v>Rishav</c:v>
                </c:pt>
                <c:pt idx="5">
                  <c:v>Bikram</c:v>
                </c:pt>
              </c:strCache>
            </c:strRef>
          </c:cat>
          <c:val>
            <c:numRef>
              <c:f>'Grade &amp; Report Card'!$D$2:$D$7</c:f>
              <c:numCache>
                <c:formatCode>General</c:formatCode>
                <c:ptCount val="6"/>
                <c:pt idx="0">
                  <c:v>86</c:v>
                </c:pt>
                <c:pt idx="1">
                  <c:v>64</c:v>
                </c:pt>
                <c:pt idx="2">
                  <c:v>60</c:v>
                </c:pt>
                <c:pt idx="3">
                  <c:v>95</c:v>
                </c:pt>
                <c:pt idx="4">
                  <c:v>68</c:v>
                </c:pt>
                <c:pt idx="5">
                  <c:v>30</c:v>
                </c:pt>
              </c:numCache>
            </c:numRef>
          </c:val>
          <c:extLst xmlns:c16r2="http://schemas.microsoft.com/office/drawing/2015/06/chart">
            <c:ext xmlns:c16="http://schemas.microsoft.com/office/drawing/2014/chart" uri="{C3380CC4-5D6E-409C-BE32-E72D297353CC}">
              <c16:uniqueId val="{00000002-22B7-43DF-AE13-CCE4467B4C6D}"/>
            </c:ext>
          </c:extLst>
        </c:ser>
        <c:ser>
          <c:idx val="3"/>
          <c:order val="3"/>
          <c:tx>
            <c:strRef>
              <c:f>'Grade &amp; Report Card'!$E$1</c:f>
              <c:strCache>
                <c:ptCount val="1"/>
                <c:pt idx="0">
                  <c:v>Econimics</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'Grade &amp; Report Card'!$A$2:$A$7</c:f>
              <c:strCache>
                <c:ptCount val="6"/>
                <c:pt idx="0">
                  <c:v>Ritik</c:v>
                </c:pt>
                <c:pt idx="1">
                  <c:v>Sandeep</c:v>
                </c:pt>
                <c:pt idx="2">
                  <c:v>Suresh</c:v>
                </c:pt>
                <c:pt idx="3">
                  <c:v>Sirjan</c:v>
                </c:pt>
                <c:pt idx="4">
                  <c:v>Rishav</c:v>
                </c:pt>
                <c:pt idx="5">
                  <c:v>Bikram</c:v>
                </c:pt>
              </c:strCache>
            </c:strRef>
          </c:cat>
          <c:val>
            <c:numRef>
              <c:f>'Grade &amp; Report Card'!$E$2:$E$7</c:f>
              <c:numCache>
                <c:formatCode>General</c:formatCode>
                <c:ptCount val="6"/>
                <c:pt idx="0">
                  <c:v>96</c:v>
                </c:pt>
                <c:pt idx="1">
                  <c:v>48</c:v>
                </c:pt>
                <c:pt idx="2">
                  <c:v>92</c:v>
                </c:pt>
                <c:pt idx="3">
                  <c:v>51</c:v>
                </c:pt>
                <c:pt idx="4">
                  <c:v>80</c:v>
                </c:pt>
                <c:pt idx="5">
                  <c:v>44</c:v>
                </c:pt>
              </c:numCache>
            </c:numRef>
          </c:val>
          <c:extLst xmlns:c16r2="http://schemas.microsoft.com/office/drawing/2015/06/chart">
            <c:ext xmlns:c16="http://schemas.microsoft.com/office/drawing/2014/chart" uri="{C3380CC4-5D6E-409C-BE32-E72D297353CC}">
              <c16:uniqueId val="{00000003-22B7-43DF-AE13-CCE4467B4C6D}"/>
            </c:ext>
          </c:extLst>
        </c:ser>
        <c:ser>
          <c:idx val="4"/>
          <c:order val="4"/>
          <c:tx>
            <c:strRef>
              <c:f>'Grade &amp; Report Card'!$F$1</c:f>
              <c:strCache>
                <c:ptCount val="1"/>
                <c:pt idx="0">
                  <c:v>IP</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'Grade &amp; Report Card'!$A$2:$A$7</c:f>
              <c:strCache>
                <c:ptCount val="6"/>
                <c:pt idx="0">
                  <c:v>Ritik</c:v>
                </c:pt>
                <c:pt idx="1">
                  <c:v>Sandeep</c:v>
                </c:pt>
                <c:pt idx="2">
                  <c:v>Suresh</c:v>
                </c:pt>
                <c:pt idx="3">
                  <c:v>Sirjan</c:v>
                </c:pt>
                <c:pt idx="4">
                  <c:v>Rishav</c:v>
                </c:pt>
                <c:pt idx="5">
                  <c:v>Bikram</c:v>
                </c:pt>
              </c:strCache>
            </c:strRef>
          </c:cat>
          <c:val>
            <c:numRef>
              <c:f>'Grade &amp; Report Card'!$F$2:$F$7</c:f>
              <c:numCache>
                <c:formatCode>General</c:formatCode>
                <c:ptCount val="6"/>
                <c:pt idx="0">
                  <c:v>64</c:v>
                </c:pt>
                <c:pt idx="1">
                  <c:v>39</c:v>
                </c:pt>
                <c:pt idx="2">
                  <c:v>74</c:v>
                </c:pt>
                <c:pt idx="3">
                  <c:v>82</c:v>
                </c:pt>
                <c:pt idx="4">
                  <c:v>58</c:v>
                </c:pt>
                <c:pt idx="5">
                  <c:v>21</c:v>
                </c:pt>
              </c:numCache>
            </c:numRef>
          </c:val>
          <c:extLst xmlns:c16r2="http://schemas.microsoft.com/office/drawing/2015/06/chart">
            <c:ext xmlns:c16="http://schemas.microsoft.com/office/drawing/2014/chart" uri="{C3380CC4-5D6E-409C-BE32-E72D297353CC}">
              <c16:uniqueId val="{00000004-22B7-43DF-AE13-CCE4467B4C6D}"/>
            </c:ext>
          </c:extLst>
        </c:ser>
        <c:ser>
          <c:idx val="5"/>
          <c:order val="5"/>
          <c:tx>
            <c:strRef>
              <c:f>'Grade &amp; Report Card'!$G$1</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'Grade &amp; Report Card'!$A$2:$A$7</c:f>
              <c:strCache>
                <c:ptCount val="6"/>
                <c:pt idx="0">
                  <c:v>Ritik</c:v>
                </c:pt>
                <c:pt idx="1">
                  <c:v>Sandeep</c:v>
                </c:pt>
                <c:pt idx="2">
                  <c:v>Suresh</c:v>
                </c:pt>
                <c:pt idx="3">
                  <c:v>Sirjan</c:v>
                </c:pt>
                <c:pt idx="4">
                  <c:v>Rishav</c:v>
                </c:pt>
                <c:pt idx="5">
                  <c:v>Bikram</c:v>
                </c:pt>
              </c:strCache>
            </c:strRef>
          </c:cat>
          <c:val>
            <c:numRef>
              <c:f>'Grade &amp; Report Card'!$G$2:$G$7</c:f>
              <c:numCache>
                <c:formatCode>General</c:formatCode>
                <c:ptCount val="6"/>
                <c:pt idx="0">
                  <c:v>356</c:v>
                </c:pt>
                <c:pt idx="1">
                  <c:v>284</c:v>
                </c:pt>
                <c:pt idx="2">
                  <c:v>385</c:v>
                </c:pt>
                <c:pt idx="3">
                  <c:v>376</c:v>
                </c:pt>
                <c:pt idx="4">
                  <c:v>360</c:v>
                </c:pt>
                <c:pt idx="5">
                  <c:v>155</c:v>
                </c:pt>
              </c:numCache>
            </c:numRef>
          </c:val>
          <c:extLst xmlns:c16r2="http://schemas.microsoft.com/office/drawing/2015/06/chart">
            <c:ext xmlns:c16="http://schemas.microsoft.com/office/drawing/2014/chart" uri="{C3380CC4-5D6E-409C-BE32-E72D297353CC}">
              <c16:uniqueId val="{00000005-22B7-43DF-AE13-CCE4467B4C6D}"/>
            </c:ext>
          </c:extLst>
        </c:ser>
        <c:ser>
          <c:idx val="6"/>
          <c:order val="6"/>
          <c:tx>
            <c:strRef>
              <c:f>'Grade &amp; Report Card'!$H$1</c:f>
              <c:strCache>
                <c:ptCount val="1"/>
                <c:pt idx="0">
                  <c:v>Average</c:v>
                </c:pt>
              </c:strCache>
            </c:strRef>
          </c:tx>
          <c:spPr>
            <a:solidFill>
              <a:schemeClr val="accent1">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'Grade &amp; Report Card'!$A$2:$A$7</c:f>
              <c:strCache>
                <c:ptCount val="6"/>
                <c:pt idx="0">
                  <c:v>Ritik</c:v>
                </c:pt>
                <c:pt idx="1">
                  <c:v>Sandeep</c:v>
                </c:pt>
                <c:pt idx="2">
                  <c:v>Suresh</c:v>
                </c:pt>
                <c:pt idx="3">
                  <c:v>Sirjan</c:v>
                </c:pt>
                <c:pt idx="4">
                  <c:v>Rishav</c:v>
                </c:pt>
                <c:pt idx="5">
                  <c:v>Bikram</c:v>
                </c:pt>
              </c:strCache>
            </c:strRef>
          </c:cat>
          <c:val>
            <c:numRef>
              <c:f>'Grade &amp; Report Card'!$H$2:$H$7</c:f>
              <c:numCache>
                <c:formatCode>General</c:formatCode>
                <c:ptCount val="6"/>
                <c:pt idx="0">
                  <c:v>71.2</c:v>
                </c:pt>
                <c:pt idx="1">
                  <c:v>56.8</c:v>
                </c:pt>
                <c:pt idx="2">
                  <c:v>77</c:v>
                </c:pt>
                <c:pt idx="3">
                  <c:v>75.2</c:v>
                </c:pt>
                <c:pt idx="4">
                  <c:v>72</c:v>
                </c:pt>
                <c:pt idx="5">
                  <c:v>31</c:v>
                </c:pt>
              </c:numCache>
            </c:numRef>
          </c:val>
          <c:extLst xmlns:c16r2="http://schemas.microsoft.com/office/drawing/2015/06/chart">
            <c:ext xmlns:c16="http://schemas.microsoft.com/office/drawing/2014/chart" uri="{C3380CC4-5D6E-409C-BE32-E72D297353CC}">
              <c16:uniqueId val="{00000006-22B7-43DF-AE13-CCE4467B4C6D}"/>
            </c:ext>
          </c:extLst>
        </c:ser>
        <c:ser>
          <c:idx val="7"/>
          <c:order val="7"/>
          <c:tx>
            <c:strRef>
              <c:f>'Grade &amp; Report Card'!$I$1</c:f>
              <c:strCache>
                <c:ptCount val="1"/>
                <c:pt idx="0">
                  <c:v>MAX</c:v>
                </c:pt>
              </c:strCache>
            </c:strRef>
          </c:tx>
          <c:spPr>
            <a:solidFill>
              <a:schemeClr val="accent2">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'Grade &amp; Report Card'!$A$2:$A$7</c:f>
              <c:strCache>
                <c:ptCount val="6"/>
                <c:pt idx="0">
                  <c:v>Ritik</c:v>
                </c:pt>
                <c:pt idx="1">
                  <c:v>Sandeep</c:v>
                </c:pt>
                <c:pt idx="2">
                  <c:v>Suresh</c:v>
                </c:pt>
                <c:pt idx="3">
                  <c:v>Sirjan</c:v>
                </c:pt>
                <c:pt idx="4">
                  <c:v>Rishav</c:v>
                </c:pt>
                <c:pt idx="5">
                  <c:v>Bikram</c:v>
                </c:pt>
              </c:strCache>
            </c:strRef>
          </c:cat>
          <c:val>
            <c:numRef>
              <c:f>'Grade &amp; Report Card'!$I$2:$I$7</c:f>
              <c:numCache>
                <c:formatCode>General</c:formatCode>
                <c:ptCount val="6"/>
                <c:pt idx="0">
                  <c:v>96</c:v>
                </c:pt>
                <c:pt idx="1">
                  <c:v>74</c:v>
                </c:pt>
                <c:pt idx="2">
                  <c:v>92</c:v>
                </c:pt>
                <c:pt idx="3">
                  <c:v>95</c:v>
                </c:pt>
                <c:pt idx="4">
                  <c:v>80</c:v>
                </c:pt>
                <c:pt idx="5">
                  <c:v>44</c:v>
                </c:pt>
              </c:numCache>
            </c:numRef>
          </c:val>
          <c:extLst xmlns:c16r2="http://schemas.microsoft.com/office/drawing/2015/06/chart">
            <c:ext xmlns:c16="http://schemas.microsoft.com/office/drawing/2014/chart" uri="{C3380CC4-5D6E-409C-BE32-E72D297353CC}">
              <c16:uniqueId val="{00000007-22B7-43DF-AE13-CCE4467B4C6D}"/>
            </c:ext>
          </c:extLst>
        </c:ser>
        <c:ser>
          <c:idx val="8"/>
          <c:order val="8"/>
          <c:tx>
            <c:strRef>
              <c:f>'Grade &amp; Report Card'!$J$1</c:f>
              <c:strCache>
                <c:ptCount val="1"/>
                <c:pt idx="0">
                  <c:v>MIN</c:v>
                </c:pt>
              </c:strCache>
            </c:strRef>
          </c:tx>
          <c:spPr>
            <a:solidFill>
              <a:schemeClr val="accent3">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'Grade &amp; Report Card'!$A$2:$A$7</c:f>
              <c:strCache>
                <c:ptCount val="6"/>
                <c:pt idx="0">
                  <c:v>Ritik</c:v>
                </c:pt>
                <c:pt idx="1">
                  <c:v>Sandeep</c:v>
                </c:pt>
                <c:pt idx="2">
                  <c:v>Suresh</c:v>
                </c:pt>
                <c:pt idx="3">
                  <c:v>Sirjan</c:v>
                </c:pt>
                <c:pt idx="4">
                  <c:v>Rishav</c:v>
                </c:pt>
                <c:pt idx="5">
                  <c:v>Bikram</c:v>
                </c:pt>
              </c:strCache>
            </c:strRef>
          </c:cat>
          <c:val>
            <c:numRef>
              <c:f>'Grade &amp; Report Card'!$J$2:$J$7</c:f>
              <c:numCache>
                <c:formatCode>General</c:formatCode>
                <c:ptCount val="6"/>
                <c:pt idx="0">
                  <c:v>48</c:v>
                </c:pt>
                <c:pt idx="1">
                  <c:v>39</c:v>
                </c:pt>
                <c:pt idx="2">
                  <c:v>60</c:v>
                </c:pt>
                <c:pt idx="3">
                  <c:v>51</c:v>
                </c:pt>
                <c:pt idx="4">
                  <c:v>58</c:v>
                </c:pt>
                <c:pt idx="5">
                  <c:v>21</c:v>
                </c:pt>
              </c:numCache>
            </c:numRef>
          </c:val>
          <c:extLst xmlns:c16r2="http://schemas.microsoft.com/office/drawing/2015/06/chart">
            <c:ext xmlns:c16="http://schemas.microsoft.com/office/drawing/2014/chart" uri="{C3380CC4-5D6E-409C-BE32-E72D297353CC}">
              <c16:uniqueId val="{00000008-22B7-43DF-AE13-CCE4467B4C6D}"/>
            </c:ext>
          </c:extLst>
        </c:ser>
        <c:ser>
          <c:idx val="9"/>
          <c:order val="9"/>
          <c:tx>
            <c:strRef>
              <c:f>'Grade &amp; Report Card'!$K$1</c:f>
              <c:strCache>
                <c:ptCount val="1"/>
                <c:pt idx="0">
                  <c:v>Count</c:v>
                </c:pt>
              </c:strCache>
            </c:strRef>
          </c:tx>
          <c:spPr>
            <a:solidFill>
              <a:schemeClr val="accent4">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'Grade &amp; Report Card'!$A$2:$A$7</c:f>
              <c:strCache>
                <c:ptCount val="6"/>
                <c:pt idx="0">
                  <c:v>Ritik</c:v>
                </c:pt>
                <c:pt idx="1">
                  <c:v>Sandeep</c:v>
                </c:pt>
                <c:pt idx="2">
                  <c:v>Suresh</c:v>
                </c:pt>
                <c:pt idx="3">
                  <c:v>Sirjan</c:v>
                </c:pt>
                <c:pt idx="4">
                  <c:v>Rishav</c:v>
                </c:pt>
                <c:pt idx="5">
                  <c:v>Bikram</c:v>
                </c:pt>
              </c:strCache>
            </c:strRef>
          </c:cat>
          <c:val>
            <c:numRef>
              <c:f>'Grade &amp; Report Card'!$K$2:$K$7</c:f>
              <c:numCache>
                <c:formatCode>General</c:formatCode>
                <c:ptCount val="6"/>
                <c:pt idx="0">
                  <c:v>5</c:v>
                </c:pt>
                <c:pt idx="1">
                  <c:v>5</c:v>
                </c:pt>
                <c:pt idx="2">
                  <c:v>5</c:v>
                </c:pt>
                <c:pt idx="3">
                  <c:v>5</c:v>
                </c:pt>
                <c:pt idx="4">
                  <c:v>5</c:v>
                </c:pt>
                <c:pt idx="5">
                  <c:v>5</c:v>
                </c:pt>
              </c:numCache>
            </c:numRef>
          </c:val>
          <c:extLst xmlns:c16r2="http://schemas.microsoft.com/office/drawing/2015/06/chart">
            <c:ext xmlns:c16="http://schemas.microsoft.com/office/drawing/2014/chart" uri="{C3380CC4-5D6E-409C-BE32-E72D297353CC}">
              <c16:uniqueId val="{00000009-22B7-43DF-AE13-CCE4467B4C6D}"/>
            </c:ext>
          </c:extLst>
        </c:ser>
        <c:ser>
          <c:idx val="10"/>
          <c:order val="10"/>
          <c:tx>
            <c:strRef>
              <c:f>'Grade &amp; Report Card'!$L$1</c:f>
              <c:strCache>
                <c:ptCount val="1"/>
                <c:pt idx="0">
                  <c:v>Grade</c:v>
                </c:pt>
              </c:strCache>
            </c:strRef>
          </c:tx>
          <c:spPr>
            <a:solidFill>
              <a:schemeClr val="accent5">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'Grade &amp; Report Card'!$A$2:$A$7</c:f>
              <c:strCache>
                <c:ptCount val="6"/>
                <c:pt idx="0">
                  <c:v>Ritik</c:v>
                </c:pt>
                <c:pt idx="1">
                  <c:v>Sandeep</c:v>
                </c:pt>
                <c:pt idx="2">
                  <c:v>Suresh</c:v>
                </c:pt>
                <c:pt idx="3">
                  <c:v>Sirjan</c:v>
                </c:pt>
                <c:pt idx="4">
                  <c:v>Rishav</c:v>
                </c:pt>
                <c:pt idx="5">
                  <c:v>Bikram</c:v>
                </c:pt>
              </c:strCache>
            </c:strRef>
          </c:cat>
          <c:val>
            <c:numRef>
              <c:f>'Grade &amp; Report Card'!$L$2:$L$7</c:f>
              <c:numCache>
                <c:formatCode>General</c:formatCode>
                <c:ptCount val="6"/>
                <c:pt idx="0">
                  <c:v>0</c:v>
                </c:pt>
                <c:pt idx="1">
                  <c:v>0</c:v>
                </c:pt>
                <c:pt idx="2">
                  <c:v>0</c:v>
                </c:pt>
                <c:pt idx="3">
                  <c:v>0</c:v>
                </c:pt>
                <c:pt idx="4">
                  <c:v>0</c:v>
                </c:pt>
                <c:pt idx="5">
                  <c:v>0</c:v>
                </c:pt>
              </c:numCache>
            </c:numRef>
          </c:val>
          <c:extLst xmlns:c16r2="http://schemas.microsoft.com/office/drawing/2015/06/chart">
            <c:ext xmlns:c16="http://schemas.microsoft.com/office/drawing/2014/chart" uri="{C3380CC4-5D6E-409C-BE32-E72D297353CC}">
              <c16:uniqueId val="{0000000A-22B7-43DF-AE13-CCE4467B4C6D}"/>
            </c:ext>
          </c:extLst>
        </c:ser>
        <c:dLbls>
          <c:dLblPos val="inEnd"/>
          <c:showLegendKey val="0"/>
          <c:showVal val="1"/>
          <c:showCatName val="0"/>
          <c:showSerName val="0"/>
          <c:showPercent val="0"/>
          <c:showBubbleSize val="0"/>
        </c:dLbls>
        <c:gapWidth val="65"/>
        <c:axId val="218685440"/>
        <c:axId val="218686976"/>
      </c:barChart>
      <c:catAx>
        <c:axId val="2186854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8686976"/>
        <c:crosses val="autoZero"/>
        <c:auto val="1"/>
        <c:lblAlgn val="ctr"/>
        <c:lblOffset val="100"/>
        <c:noMultiLvlLbl val="0"/>
      </c:catAx>
      <c:valAx>
        <c:axId val="2186869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8685440"/>
        <c:crosses val="autoZero"/>
        <c:crossBetween val="between"/>
      </c:valAx>
      <c:spPr>
        <a:noFill/>
        <a:ln>
          <a:noFill/>
        </a:ln>
        <a:effectLst/>
      </c:spPr>
    </c:plotArea>
    <c:legend>
      <c:legendPos val="b"/>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xmlns:c16r2="http://schemas.microsoft.com/office/drawing/2015/06/chart">
      <c:ext uri="{0b15fc19-7d7d-44ad-8c2d-2c3a37ce22c3}">
        <chartProps xmlns="https://web.wps.cn/et/2018/main" chartId="{b56ca87e-5c21-4c65-a26c-043d1185f261}"/>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Growth Chart</a:t>
            </a:r>
            <a:r>
              <a:rPr lang="en-IN" baseline="0"/>
              <a:t> of Computec</a:t>
            </a:r>
          </a:p>
        </c:rich>
      </c:tx>
      <c:layout/>
      <c:overlay val="0"/>
      <c:spPr>
        <a:noFill/>
        <a:ln>
          <a:noFill/>
        </a:ln>
        <a:effectLst/>
      </c:spPr>
    </c:title>
    <c:autoTitleDeleted val="0"/>
    <c:plotArea>
      <c:layout/>
      <c:barChart>
        <c:barDir val="col"/>
        <c:grouping val="stacked"/>
        <c:varyColors val="0"/>
        <c:ser>
          <c:idx val="0"/>
          <c:order val="0"/>
          <c:tx>
            <c:strRef>
              <c:f>'3D Growth Chart'!$A$1</c:f>
              <c:strCache>
                <c:ptCount val="1"/>
                <c:pt idx="0">
                  <c:v>YEAR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val>
            <c:numRef>
              <c:f>'3D Growth Chart'!$A$2:$A$6</c:f>
              <c:numCache>
                <c:formatCode>General</c:formatCode>
                <c:ptCount val="5"/>
                <c:pt idx="0">
                  <c:v>1995</c:v>
                </c:pt>
                <c:pt idx="1">
                  <c:v>1996</c:v>
                </c:pt>
                <c:pt idx="2">
                  <c:v>1997</c:v>
                </c:pt>
                <c:pt idx="3">
                  <c:v>1998</c:v>
                </c:pt>
                <c:pt idx="4">
                  <c:v>1999</c:v>
                </c:pt>
              </c:numCache>
            </c:numRef>
          </c:val>
          <c:extLst xmlns:c16r2="http://schemas.microsoft.com/office/drawing/2015/06/chart">
            <c:ext xmlns:c16="http://schemas.microsoft.com/office/drawing/2014/chart" uri="{C3380CC4-5D6E-409C-BE32-E72D297353CC}">
              <c16:uniqueId val="{00000000-02DA-4E08-BADB-56A3CC602908}"/>
            </c:ext>
          </c:extLst>
        </c:ser>
        <c:ser>
          <c:idx val="1"/>
          <c:order val="1"/>
          <c:tx>
            <c:strRef>
              <c:f>'3D Growth Chart'!$B$1</c:f>
              <c:strCache>
                <c:ptCount val="1"/>
                <c:pt idx="0">
                  <c:v>Growth of Computec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val>
            <c:numRef>
              <c:f>'3D Growth Chart'!$B$2:$B$6</c:f>
              <c:numCache>
                <c:formatCode>0%</c:formatCode>
                <c:ptCount val="5"/>
                <c:pt idx="0">
                  <c:v>0.45</c:v>
                </c:pt>
                <c:pt idx="1">
                  <c:v>0.69</c:v>
                </c:pt>
                <c:pt idx="2">
                  <c:v>0.71</c:v>
                </c:pt>
                <c:pt idx="3">
                  <c:v>0.89</c:v>
                </c:pt>
                <c:pt idx="4">
                  <c:v>1</c:v>
                </c:pt>
              </c:numCache>
            </c:numRef>
          </c:val>
          <c:extLst xmlns:c16r2="http://schemas.microsoft.com/office/drawing/2015/06/chart">
            <c:ext xmlns:c16="http://schemas.microsoft.com/office/drawing/2014/chart" uri="{C3380CC4-5D6E-409C-BE32-E72D297353CC}">
              <c16:uniqueId val="{00000001-02DA-4E08-BADB-56A3CC602908}"/>
            </c:ext>
          </c:extLst>
        </c:ser>
        <c:dLbls>
          <c:showLegendKey val="0"/>
          <c:showVal val="0"/>
          <c:showCatName val="0"/>
          <c:showSerName val="0"/>
          <c:showPercent val="0"/>
          <c:showBubbleSize val="0"/>
        </c:dLbls>
        <c:gapWidth val="150"/>
        <c:overlap val="100"/>
        <c:axId val="224072448"/>
        <c:axId val="224073984"/>
      </c:barChart>
      <c:catAx>
        <c:axId val="224072448"/>
        <c:scaling>
          <c:orientation val="minMax"/>
        </c:scaling>
        <c:delete val="0"/>
        <c:axPos val="b"/>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4073984"/>
        <c:crosses val="autoZero"/>
        <c:auto val="1"/>
        <c:lblAlgn val="ctr"/>
        <c:lblOffset val="100"/>
        <c:noMultiLvlLbl val="0"/>
      </c:catAx>
      <c:valAx>
        <c:axId val="2240739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40724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xmlns:c16r2="http://schemas.microsoft.com/office/drawing/2015/06/chart">
      <c:ext uri="{0b15fc19-7d7d-44ad-8c2d-2c3a37ce22c3}">
        <chartProps xmlns="https://web.wps.cn/et/2018/main" chartId="{a9aed4b9-a936-4451-bafa-929494c6bbdc}"/>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IN" sz="1800">
                <a:latin typeface="Arial Black" panose="020B0A04020102020204" pitchFamily="34" charset="0"/>
              </a:rPr>
              <a:t>SPEEDOMETER</a:t>
            </a:r>
          </a:p>
        </c:rich>
      </c:tx>
      <c:layout/>
      <c:overlay val="0"/>
      <c:spPr>
        <a:noFill/>
        <a:ln>
          <a:noFill/>
        </a:ln>
        <a:effectLst/>
      </c:spPr>
    </c:title>
    <c:autoTitleDeleted val="0"/>
    <c:plotArea>
      <c:layout/>
      <c:doughnutChart>
        <c:varyColors val="1"/>
        <c:ser>
          <c:idx val="0"/>
          <c:order val="0"/>
          <c:tx>
            <c:strRef>
              <c:f>Speedometer!$A$1</c:f>
              <c:strCache>
                <c:ptCount val="1"/>
                <c:pt idx="0">
                  <c:v>Speedometer</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6D2A-492C-9E4B-5CFC17245B3D}"/>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6D2A-492C-9E4B-5CFC17245B3D}"/>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6D2A-492C-9E4B-5CFC17245B3D}"/>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6D2A-492C-9E4B-5CFC17245B3D}"/>
              </c:ext>
            </c:extLst>
          </c:dPt>
          <c:dPt>
            <c:idx val="4"/>
            <c:bubble3D val="0"/>
            <c:spPr>
              <a:noFill/>
              <a:ln w="19050">
                <a:solidFill>
                  <a:schemeClr val="lt1"/>
                </a:solidFill>
              </a:ln>
              <a:effectLst/>
            </c:spPr>
            <c:extLst xmlns:c16r2="http://schemas.microsoft.com/office/drawing/2015/06/chart">
              <c:ext xmlns:c16="http://schemas.microsoft.com/office/drawing/2014/chart" uri="{C3380CC4-5D6E-409C-BE32-E72D297353CC}">
                <c16:uniqueId val="{00000009-6D2A-492C-9E4B-5CFC17245B3D}"/>
              </c:ext>
            </c:extLst>
          </c:dPt>
          <c:val>
            <c:numRef>
              <c:f>Speedometer!$B$2:$B$6</c:f>
              <c:numCache>
                <c:formatCode>General</c:formatCode>
                <c:ptCount val="5"/>
                <c:pt idx="0">
                  <c:v>0</c:v>
                </c:pt>
                <c:pt idx="1">
                  <c:v>40</c:v>
                </c:pt>
                <c:pt idx="2">
                  <c:v>60</c:v>
                </c:pt>
                <c:pt idx="3">
                  <c:v>90</c:v>
                </c:pt>
                <c:pt idx="4">
                  <c:v>185</c:v>
                </c:pt>
              </c:numCache>
            </c:numRef>
          </c:val>
          <c:extLst xmlns:c16r2="http://schemas.microsoft.com/office/drawing/2015/06/chart">
            <c:ext xmlns:c16="http://schemas.microsoft.com/office/drawing/2014/chart" uri="{C3380CC4-5D6E-409C-BE32-E72D297353CC}">
              <c16:uniqueId val="{0000000A-6D2A-492C-9E4B-5CFC17245B3D}"/>
            </c:ext>
          </c:extLst>
        </c:ser>
        <c:dLbls>
          <c:showLegendKey val="0"/>
          <c:showVal val="0"/>
          <c:showCatName val="0"/>
          <c:showSerName val="0"/>
          <c:showPercent val="0"/>
          <c:showBubbleSize val="0"/>
          <c:showLeaderLines val="1"/>
        </c:dLbls>
        <c:firstSliceAng val="270"/>
        <c:holeSize val="75"/>
      </c:doughnutChart>
      <c:pieChart>
        <c:varyColors val="1"/>
        <c:ser>
          <c:idx val="1"/>
          <c:order val="1"/>
          <c:tx>
            <c:strRef>
              <c:f>Speedometer!$E$1</c:f>
              <c:strCache>
                <c:ptCount val="1"/>
                <c:pt idx="0">
                  <c:v>Pointer</c:v>
                </c:pt>
              </c:strCache>
            </c:strRef>
          </c:tx>
          <c:dPt>
            <c:idx val="0"/>
            <c:bubble3D val="0"/>
            <c:spPr>
              <a:noFill/>
              <a:ln w="19050">
                <a:solidFill>
                  <a:schemeClr val="lt1"/>
                </a:solidFill>
              </a:ln>
              <a:effectLst/>
            </c:spPr>
            <c:extLst xmlns:c16r2="http://schemas.microsoft.com/office/drawing/2015/06/chart">
              <c:ext xmlns:c16="http://schemas.microsoft.com/office/drawing/2014/chart" uri="{C3380CC4-5D6E-409C-BE32-E72D297353CC}">
                <c16:uniqueId val="{0000000C-6D2A-492C-9E4B-5CFC17245B3D}"/>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E-6D2A-492C-9E4B-5CFC17245B3D}"/>
              </c:ext>
            </c:extLst>
          </c:dPt>
          <c:dPt>
            <c:idx val="2"/>
            <c:bubble3D val="0"/>
            <c:spPr>
              <a:noFill/>
              <a:ln w="19050">
                <a:solidFill>
                  <a:schemeClr val="lt1"/>
                </a:solidFill>
              </a:ln>
              <a:effectLst/>
            </c:spPr>
            <c:extLst xmlns:c16r2="http://schemas.microsoft.com/office/drawing/2015/06/chart">
              <c:ext xmlns:c16="http://schemas.microsoft.com/office/drawing/2014/chart" uri="{C3380CC4-5D6E-409C-BE32-E72D297353CC}">
                <c16:uniqueId val="{00000010-6D2A-492C-9E4B-5CFC17245B3D}"/>
              </c:ext>
            </c:extLst>
          </c:dPt>
          <c:val>
            <c:numRef>
              <c:f>Speedometer!$F$2:$F$4</c:f>
              <c:numCache>
                <c:formatCode>General</c:formatCode>
                <c:ptCount val="3"/>
                <c:pt idx="0">
                  <c:v>70</c:v>
                </c:pt>
                <c:pt idx="1">
                  <c:v>4</c:v>
                </c:pt>
                <c:pt idx="2">
                  <c:v>150</c:v>
                </c:pt>
              </c:numCache>
            </c:numRef>
          </c:val>
          <c:extLst xmlns:c16r2="http://schemas.microsoft.com/office/drawing/2015/06/chart">
            <c:ext xmlns:c16="http://schemas.microsoft.com/office/drawing/2014/chart" uri="{C3380CC4-5D6E-409C-BE32-E72D297353CC}">
              <c16:uniqueId val="{00000011-6D2A-492C-9E4B-5CFC17245B3D}"/>
            </c:ext>
          </c:extLst>
        </c:ser>
        <c:dLbls>
          <c:showLegendKey val="0"/>
          <c:showVal val="0"/>
          <c:showCatName val="0"/>
          <c:showSerName val="0"/>
          <c:showPercent val="0"/>
          <c:showBubbleSize val="0"/>
          <c:showLeaderLines val="1"/>
        </c:dLbls>
        <c:firstSliceAng val="27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uri="{0b15fc19-7d7d-44ad-8c2d-2c3a37ce22c3}">
        <chartProps xmlns="https://web.wps.cn/et/2018/main" chartId="{a51936dc-6bee-4d1f-84e3-06d303e12c8e}"/>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DASHBOARD!$C$2</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DASHBOARD!$B$3:$B$13</c:f>
              <c:numCache>
                <c:formatCode>m/d/yyyy</c:formatCode>
                <c:ptCount val="11"/>
                <c:pt idx="0">
                  <c:v>45353</c:v>
                </c:pt>
                <c:pt idx="1">
                  <c:v>45353</c:v>
                </c:pt>
                <c:pt idx="2">
                  <c:v>45355</c:v>
                </c:pt>
                <c:pt idx="3">
                  <c:v>45357</c:v>
                </c:pt>
                <c:pt idx="4">
                  <c:v>45357</c:v>
                </c:pt>
                <c:pt idx="5">
                  <c:v>45358</c:v>
                </c:pt>
                <c:pt idx="6">
                  <c:v>45360</c:v>
                </c:pt>
                <c:pt idx="7">
                  <c:v>45364</c:v>
                </c:pt>
                <c:pt idx="8">
                  <c:v>45366</c:v>
                </c:pt>
                <c:pt idx="9">
                  <c:v>45366</c:v>
                </c:pt>
                <c:pt idx="10">
                  <c:v>45369</c:v>
                </c:pt>
              </c:numCache>
            </c:numRef>
          </c:cat>
          <c:val>
            <c:numRef>
              <c:f>DASHBOARD!$C$3:$C$13</c:f>
              <c:numCache>
                <c:formatCode>General</c:formatCode>
                <c:ptCount val="11"/>
                <c:pt idx="0">
                  <c:v>48579</c:v>
                </c:pt>
                <c:pt idx="1">
                  <c:v>38219</c:v>
                </c:pt>
                <c:pt idx="2">
                  <c:v>19027</c:v>
                </c:pt>
                <c:pt idx="3">
                  <c:v>18058</c:v>
                </c:pt>
                <c:pt idx="4">
                  <c:v>21816</c:v>
                </c:pt>
                <c:pt idx="5">
                  <c:v>28057</c:v>
                </c:pt>
                <c:pt idx="6">
                  <c:v>48110</c:v>
                </c:pt>
                <c:pt idx="7">
                  <c:v>18180</c:v>
                </c:pt>
                <c:pt idx="8">
                  <c:v>30919</c:v>
                </c:pt>
                <c:pt idx="9">
                  <c:v>48822</c:v>
                </c:pt>
                <c:pt idx="10">
                  <c:v>17793</c:v>
                </c:pt>
              </c:numCache>
            </c:numRef>
          </c:val>
          <c:extLst xmlns:c16r2="http://schemas.microsoft.com/office/drawing/2015/06/chart">
            <c:ext xmlns:c16="http://schemas.microsoft.com/office/drawing/2014/chart" uri="{C3380CC4-5D6E-409C-BE32-E72D297353CC}">
              <c16:uniqueId val="{00000000-183C-4956-81C4-0BF4EDD409D8}"/>
            </c:ext>
          </c:extLst>
        </c:ser>
        <c:dLbls>
          <c:showLegendKey val="0"/>
          <c:showVal val="0"/>
          <c:showCatName val="0"/>
          <c:showSerName val="0"/>
          <c:showPercent val="0"/>
          <c:showBubbleSize val="0"/>
        </c:dLbls>
        <c:gapWidth val="100"/>
        <c:overlap val="-24"/>
        <c:axId val="224676096"/>
        <c:axId val="224677888"/>
      </c:barChart>
      <c:dateAx>
        <c:axId val="224676096"/>
        <c:scaling>
          <c:orientation val="minMax"/>
        </c:scaling>
        <c:delete val="0"/>
        <c:axPos val="b"/>
        <c:numFmt formatCode="m/d/yyyy"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677888"/>
        <c:crosses val="autoZero"/>
        <c:auto val="1"/>
        <c:lblOffset val="100"/>
        <c:baseTimeUnit val="days"/>
      </c:dateAx>
      <c:valAx>
        <c:axId val="2246778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467609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perspective val="30"/>
    </c:view3D>
    <c:floor>
      <c:thickness val="0"/>
      <c:spPr>
        <a:noFill/>
        <a:ln>
          <a:noFill/>
        </a:ln>
        <a:effectLst/>
      </c:spPr>
    </c:floor>
    <c:sideWall>
      <c:thickness val="0"/>
      <c:spPr>
        <a:noFill/>
        <a:ln>
          <a:noFill/>
        </a:ln>
        <a:effectLst/>
      </c:spPr>
    </c:sideWall>
    <c:backWall>
      <c:thickness val="0"/>
      <c:spPr>
        <a:noFill/>
        <a:ln>
          <a:noFill/>
        </a:ln>
        <a:effectLst/>
      </c:spPr>
    </c:backWall>
    <c:plotArea>
      <c:layout/>
      <c:pie3DChart>
        <c:varyColors val="1"/>
        <c:ser>
          <c:idx val="0"/>
          <c:order val="0"/>
          <c:tx>
            <c:strRef>
              <c:f>CHARTS!$B$3</c:f>
              <c:strCache>
                <c:ptCount val="1"/>
                <c:pt idx="0">
                  <c:v>TARGET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01-03D3-4B34-B8DE-8854EA73937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03-03D3-4B34-B8DE-8854EA73937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05-03D3-4B34-B8DE-8854EA73937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07-03D3-4B34-B8DE-8854EA73937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09-03D3-4B34-B8DE-8854EA73937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0B-03D3-4B34-B8DE-8854EA73937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0D-03D3-4B34-B8DE-8854EA73937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0F-03D3-4B34-B8DE-8854EA73937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11-03D3-4B34-B8DE-8854EA73937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13-03D3-4B34-B8DE-8854EA739375}"/>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15-03D3-4B34-B8DE-8854EA739375}"/>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17-03D3-4B34-B8DE-8854EA739375}"/>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19-03D3-4B34-B8DE-8854EA739375}"/>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1B-03D3-4B34-B8DE-8854EA739375}"/>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1D-03D3-4B34-B8DE-8854EA739375}"/>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1F-03D3-4B34-B8DE-8854EA739375}"/>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21-03D3-4B34-B8DE-8854EA739375}"/>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lt1">
                      <a:lumMod val="95000"/>
                      <a:alpha val="54000"/>
                    </a:schemeClr>
                  </a:solidFill>
                  <a:prstDash val="solid"/>
                  <a:round/>
                </a:ln>
                <a:effectLst/>
              </c:spPr>
            </c:leaderLines>
            <c:extLst xmlns:c16r2="http://schemas.microsoft.com/office/drawing/2015/06/chart">
              <c:ext xmlns:c15="http://schemas.microsoft.com/office/drawing/2012/chart" uri="{CE6537A1-D6FC-4f65-9D91-7224C49458BB}"/>
            </c:extLst>
          </c:dLbls>
          <c:cat>
            <c:strRef>
              <c:f>CHARTS!$A$4:$A$20</c:f>
              <c:strCache>
                <c:ptCount val="17"/>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strCache>
            </c:strRef>
          </c:cat>
          <c:val>
            <c:numRef>
              <c:f>CHARTS!$B$4:$B$20</c:f>
              <c:numCache>
                <c:formatCode>General</c:formatCode>
                <c:ptCount val="17"/>
                <c:pt idx="0">
                  <c:v>592</c:v>
                </c:pt>
                <c:pt idx="1">
                  <c:v>630</c:v>
                </c:pt>
                <c:pt idx="2">
                  <c:v>527</c:v>
                </c:pt>
                <c:pt idx="3">
                  <c:v>545</c:v>
                </c:pt>
                <c:pt idx="4">
                  <c:v>582</c:v>
                </c:pt>
                <c:pt idx="5">
                  <c:v>476</c:v>
                </c:pt>
                <c:pt idx="6">
                  <c:v>458</c:v>
                </c:pt>
                <c:pt idx="7">
                  <c:v>448</c:v>
                </c:pt>
                <c:pt idx="8">
                  <c:v>686</c:v>
                </c:pt>
                <c:pt idx="9">
                  <c:v>641</c:v>
                </c:pt>
                <c:pt idx="10">
                  <c:v>696</c:v>
                </c:pt>
                <c:pt idx="11">
                  <c:v>474</c:v>
                </c:pt>
                <c:pt idx="12">
                  <c:v>689</c:v>
                </c:pt>
                <c:pt idx="13">
                  <c:v>446</c:v>
                </c:pt>
                <c:pt idx="14">
                  <c:v>623</c:v>
                </c:pt>
                <c:pt idx="15">
                  <c:v>506</c:v>
                </c:pt>
                <c:pt idx="16">
                  <c:v>613</c:v>
                </c:pt>
              </c:numCache>
            </c:numRef>
          </c:val>
          <c:extLst xmlns:c16r2="http://schemas.microsoft.com/office/drawing/2015/06/chart">
            <c:ext xmlns:c16="http://schemas.microsoft.com/office/drawing/2014/chart" uri="{C3380CC4-5D6E-409C-BE32-E72D297353CC}">
              <c16:uniqueId val="{00000022-03D3-4B34-B8DE-8854EA739375}"/>
            </c:ext>
          </c:extLst>
        </c:ser>
        <c:ser>
          <c:idx val="1"/>
          <c:order val="1"/>
          <c:tx>
            <c:strRef>
              <c:f>CHARTS!$C$3</c:f>
              <c:strCache>
                <c:ptCount val="1"/>
                <c:pt idx="0">
                  <c:v>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24-03D3-4B34-B8DE-8854EA73937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26-03D3-4B34-B8DE-8854EA73937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28-03D3-4B34-B8DE-8854EA73937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2A-03D3-4B34-B8DE-8854EA73937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2C-03D3-4B34-B8DE-8854EA73937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2E-03D3-4B34-B8DE-8854EA73937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30-03D3-4B34-B8DE-8854EA73937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32-03D3-4B34-B8DE-8854EA73937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34-03D3-4B34-B8DE-8854EA73937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36-03D3-4B34-B8DE-8854EA739375}"/>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38-03D3-4B34-B8DE-8854EA739375}"/>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3A-03D3-4B34-B8DE-8854EA739375}"/>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3C-03D3-4B34-B8DE-8854EA739375}"/>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3E-03D3-4B34-B8DE-8854EA739375}"/>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40-03D3-4B34-B8DE-8854EA739375}"/>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42-03D3-4B34-B8DE-8854EA739375}"/>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c:spPr>
            <c:extLst xmlns:c16r2="http://schemas.microsoft.com/office/drawing/2015/06/chart">
              <c:ext xmlns:c16="http://schemas.microsoft.com/office/drawing/2014/chart" uri="{C3380CC4-5D6E-409C-BE32-E72D297353CC}">
                <c16:uniqueId val="{00000044-03D3-4B34-B8DE-8854EA739375}"/>
              </c:ext>
            </c:extLst>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lt1">
                      <a:lumMod val="95000"/>
                      <a:alpha val="54000"/>
                    </a:schemeClr>
                  </a:solidFill>
                  <a:prstDash val="solid"/>
                  <a:round/>
                </a:ln>
                <a:effectLst/>
              </c:spPr>
            </c:leaderLines>
            <c:extLst xmlns:c16r2="http://schemas.microsoft.com/office/drawing/2015/06/chart">
              <c:ext xmlns:c15="http://schemas.microsoft.com/office/drawing/2012/chart" uri="{CE6537A1-D6FC-4f65-9D91-7224C49458BB}"/>
            </c:extLst>
          </c:dLbls>
          <c:cat>
            <c:strRef>
              <c:f>CHARTS!$A$4:$A$20</c:f>
              <c:strCache>
                <c:ptCount val="17"/>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strCache>
            </c:strRef>
          </c:cat>
          <c:val>
            <c:numRef>
              <c:f>CHARTS!$C$4:$C$20</c:f>
              <c:numCache>
                <c:formatCode>General</c:formatCode>
                <c:ptCount val="17"/>
                <c:pt idx="0">
                  <c:v>2101</c:v>
                </c:pt>
                <c:pt idx="1">
                  <c:v>3555</c:v>
                </c:pt>
                <c:pt idx="2">
                  <c:v>2309</c:v>
                </c:pt>
                <c:pt idx="3">
                  <c:v>2284</c:v>
                </c:pt>
                <c:pt idx="4">
                  <c:v>1699</c:v>
                </c:pt>
                <c:pt idx="5">
                  <c:v>2884</c:v>
                </c:pt>
                <c:pt idx="6">
                  <c:v>2025</c:v>
                </c:pt>
                <c:pt idx="7">
                  <c:v>1546</c:v>
                </c:pt>
                <c:pt idx="8">
                  <c:v>3063</c:v>
                </c:pt>
                <c:pt idx="9">
                  <c:v>2494</c:v>
                </c:pt>
                <c:pt idx="10">
                  <c:v>4131</c:v>
                </c:pt>
                <c:pt idx="11">
                  <c:v>2299</c:v>
                </c:pt>
                <c:pt idx="12">
                  <c:v>3057</c:v>
                </c:pt>
                <c:pt idx="13">
                  <c:v>3352</c:v>
                </c:pt>
                <c:pt idx="14">
                  <c:v>1283</c:v>
                </c:pt>
                <c:pt idx="15">
                  <c:v>3363</c:v>
                </c:pt>
                <c:pt idx="16">
                  <c:v>1338</c:v>
                </c:pt>
              </c:numCache>
            </c:numRef>
          </c:val>
          <c:extLst xmlns:c16r2="http://schemas.microsoft.com/office/drawing/2015/06/chart">
            <c:ext xmlns:c16="http://schemas.microsoft.com/office/drawing/2014/chart" uri="{C3380CC4-5D6E-409C-BE32-E72D297353CC}">
              <c16:uniqueId val="{00000045-03D3-4B34-B8DE-8854EA739375}"/>
            </c:ext>
          </c:extLst>
        </c:ser>
        <c:dLbls>
          <c:showLegendKey val="0"/>
          <c:showVal val="0"/>
          <c:showCatName val="0"/>
          <c:showSerName val="0"/>
          <c:showPercent val="1"/>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xmlns:c16r2="http://schemas.microsoft.com/office/drawing/2015/06/chart">
      <c:ext uri="{0b15fc19-7d7d-44ad-8c2d-2c3a37ce22c3}">
        <chartProps xmlns="https://web.wps.cn/et/2018/main" chartId="{a8cf0b2a-8e1e-4c86-97d8-6036fe6592d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6350" cap="flat" cmpd="sng" algn="ctr">
      <a:noFill/>
      <a:prstDash val="solid"/>
      <a:round/>
    </a:ln>
    <a:effectLst/>
  </c:spPr>
  <c:txPr>
    <a:bodyPr/>
    <a:lstStyle/>
    <a:p>
      <a:pPr>
        <a:defRPr lang="en-US"/>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CHARTS!$B$3</c:f>
              <c:strCache>
                <c:ptCount val="1"/>
                <c:pt idx="0">
                  <c:v>TARGET</c:v>
                </c:pt>
              </c:strCache>
            </c:strRef>
          </c:tx>
          <c:spPr>
            <a:ln w="22225" cap="rnd">
              <a:solidFill>
                <a:schemeClr val="accent1"/>
              </a:solidFill>
            </a:ln>
            <a:effectLst>
              <a:glow rad="139700">
                <a:schemeClr val="accent1">
                  <a:satMod val="175000"/>
                  <a:alpha val="14000"/>
                </a:schemeClr>
              </a:glow>
            </a:effectLst>
          </c:spPr>
          <c:marker>
            <c:symbol val="none"/>
          </c:marker>
          <c:cat>
            <c:strRef>
              <c:f>CHARTS!$A$4:$A$20</c:f>
              <c:strCache>
                <c:ptCount val="17"/>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strCache>
            </c:strRef>
          </c:cat>
          <c:val>
            <c:numRef>
              <c:f>CHARTS!$B$4:$B$20</c:f>
              <c:numCache>
                <c:formatCode>General</c:formatCode>
                <c:ptCount val="17"/>
                <c:pt idx="0">
                  <c:v>592</c:v>
                </c:pt>
                <c:pt idx="1">
                  <c:v>630</c:v>
                </c:pt>
                <c:pt idx="2">
                  <c:v>527</c:v>
                </c:pt>
                <c:pt idx="3">
                  <c:v>545</c:v>
                </c:pt>
                <c:pt idx="4">
                  <c:v>582</c:v>
                </c:pt>
                <c:pt idx="5">
                  <c:v>476</c:v>
                </c:pt>
                <c:pt idx="6">
                  <c:v>458</c:v>
                </c:pt>
                <c:pt idx="7">
                  <c:v>448</c:v>
                </c:pt>
                <c:pt idx="8">
                  <c:v>686</c:v>
                </c:pt>
                <c:pt idx="9">
                  <c:v>641</c:v>
                </c:pt>
                <c:pt idx="10">
                  <c:v>696</c:v>
                </c:pt>
                <c:pt idx="11">
                  <c:v>474</c:v>
                </c:pt>
                <c:pt idx="12">
                  <c:v>689</c:v>
                </c:pt>
                <c:pt idx="13">
                  <c:v>446</c:v>
                </c:pt>
                <c:pt idx="14">
                  <c:v>623</c:v>
                </c:pt>
                <c:pt idx="15">
                  <c:v>506</c:v>
                </c:pt>
                <c:pt idx="16">
                  <c:v>613</c:v>
                </c:pt>
              </c:numCache>
            </c:numRef>
          </c:val>
          <c:smooth val="0"/>
          <c:extLst xmlns:c16r2="http://schemas.microsoft.com/office/drawing/2015/06/chart">
            <c:ext xmlns:c16="http://schemas.microsoft.com/office/drawing/2014/chart" uri="{C3380CC4-5D6E-409C-BE32-E72D297353CC}">
              <c16:uniqueId val="{00000000-F241-4D50-8ADA-426EC1111742}"/>
            </c:ext>
          </c:extLst>
        </c:ser>
        <c:ser>
          <c:idx val="1"/>
          <c:order val="1"/>
          <c:tx>
            <c:strRef>
              <c:f>CHARTS!$C$3</c:f>
              <c:strCache>
                <c:ptCount val="1"/>
                <c:pt idx="0">
                  <c:v>SALES</c:v>
                </c:pt>
              </c:strCache>
            </c:strRef>
          </c:tx>
          <c:spPr>
            <a:ln w="22225" cap="rnd">
              <a:solidFill>
                <a:schemeClr val="accent2"/>
              </a:solidFill>
            </a:ln>
            <a:effectLst>
              <a:glow rad="139700">
                <a:schemeClr val="accent2">
                  <a:satMod val="175000"/>
                  <a:alpha val="14000"/>
                </a:schemeClr>
              </a:glow>
            </a:effectLst>
          </c:spPr>
          <c:marker>
            <c:symbol val="none"/>
          </c:marker>
          <c:cat>
            <c:strRef>
              <c:f>CHARTS!$A$4:$A$20</c:f>
              <c:strCache>
                <c:ptCount val="17"/>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strCache>
            </c:strRef>
          </c:cat>
          <c:val>
            <c:numRef>
              <c:f>CHARTS!$C$4:$C$20</c:f>
              <c:numCache>
                <c:formatCode>General</c:formatCode>
                <c:ptCount val="17"/>
                <c:pt idx="0">
                  <c:v>2101</c:v>
                </c:pt>
                <c:pt idx="1">
                  <c:v>3555</c:v>
                </c:pt>
                <c:pt idx="2">
                  <c:v>2309</c:v>
                </c:pt>
                <c:pt idx="3">
                  <c:v>2284</c:v>
                </c:pt>
                <c:pt idx="4">
                  <c:v>1699</c:v>
                </c:pt>
                <c:pt idx="5">
                  <c:v>2884</c:v>
                </c:pt>
                <c:pt idx="6">
                  <c:v>2025</c:v>
                </c:pt>
                <c:pt idx="7">
                  <c:v>1546</c:v>
                </c:pt>
                <c:pt idx="8">
                  <c:v>3063</c:v>
                </c:pt>
                <c:pt idx="9">
                  <c:v>2494</c:v>
                </c:pt>
                <c:pt idx="10">
                  <c:v>4131</c:v>
                </c:pt>
                <c:pt idx="11">
                  <c:v>2299</c:v>
                </c:pt>
                <c:pt idx="12">
                  <c:v>3057</c:v>
                </c:pt>
                <c:pt idx="13">
                  <c:v>3352</c:v>
                </c:pt>
                <c:pt idx="14">
                  <c:v>1283</c:v>
                </c:pt>
                <c:pt idx="15">
                  <c:v>3363</c:v>
                </c:pt>
                <c:pt idx="16">
                  <c:v>1338</c:v>
                </c:pt>
              </c:numCache>
            </c:numRef>
          </c:val>
          <c:smooth val="0"/>
          <c:extLst xmlns:c16r2="http://schemas.microsoft.com/office/drawing/2015/06/chart">
            <c:ext xmlns:c16="http://schemas.microsoft.com/office/drawing/2014/chart" uri="{C3380CC4-5D6E-409C-BE32-E72D297353CC}">
              <c16:uniqueId val="{00000001-F241-4D50-8ADA-426EC1111742}"/>
            </c:ext>
          </c:extLst>
        </c:ser>
        <c:dLbls>
          <c:showLegendKey val="0"/>
          <c:showVal val="0"/>
          <c:showCatName val="0"/>
          <c:showSerName val="0"/>
          <c:showPercent val="0"/>
          <c:showBubbleSize val="0"/>
        </c:dLbls>
        <c:marker val="1"/>
        <c:smooth val="0"/>
        <c:axId val="229784192"/>
        <c:axId val="229794176"/>
      </c:lineChart>
      <c:catAx>
        <c:axId val="2297841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crossAx val="229794176"/>
        <c:crosses val="autoZero"/>
        <c:auto val="1"/>
        <c:lblAlgn val="ctr"/>
        <c:lblOffset val="100"/>
        <c:noMultiLvlLbl val="0"/>
      </c:catAx>
      <c:valAx>
        <c:axId val="2297941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crossAx val="2297841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xmlns:c16r2="http://schemas.microsoft.com/office/drawing/2015/06/chart">
      <c:ext uri="{0b15fc19-7d7d-44ad-8c2d-2c3a37ce22c3}">
        <chartProps xmlns="https://web.wps.cn/et/2018/main" chartId="{8278c33f-798b-4371-8609-25014f30718e}"/>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15875</xdr:colOff>
      <xdr:row>7</xdr:row>
      <xdr:rowOff>95250</xdr:rowOff>
    </xdr:from>
    <xdr:to>
      <xdr:col>8</xdr:col>
      <xdr:colOff>428625</xdr:colOff>
      <xdr:row>22</xdr:row>
      <xdr:rowOff>76200</xdr:rowOff>
    </xdr:to>
    <xdr:graphicFrame macro="">
      <xdr:nvGraphicFramePr>
        <xdr:cNvPr id="2" name="Chart 1">
          <a:extLst>
            <a:ext uri="{FF2B5EF4-FFF2-40B4-BE49-F238E27FC236}">
              <a16:creationId xmlns=""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508000</xdr:colOff>
      <xdr:row>9</xdr:row>
      <xdr:rowOff>25400</xdr:rowOff>
    </xdr:from>
    <xdr:to>
      <xdr:col>16</xdr:col>
      <xdr:colOff>533400</xdr:colOff>
      <xdr:row>15</xdr:row>
      <xdr:rowOff>19050</xdr:rowOff>
    </xdr:to>
    <xdr:sp macro="" textlink="">
      <xdr:nvSpPr>
        <xdr:cNvPr id="3" name="Rectangle 2">
          <a:extLst>
            <a:ext uri="{FF2B5EF4-FFF2-40B4-BE49-F238E27FC236}">
              <a16:creationId xmlns="" xmlns:a16="http://schemas.microsoft.com/office/drawing/2014/main" id="{E7358DAE-F00D-6185-98E4-7EB0D0CB3599}"/>
            </a:ext>
          </a:extLst>
        </xdr:cNvPr>
        <xdr:cNvSpPr/>
      </xdr:nvSpPr>
      <xdr:spPr>
        <a:xfrm>
          <a:off x="7708900" y="1682750"/>
          <a:ext cx="3962400" cy="10985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kern="1200"/>
            <a:t>Calculate</a:t>
          </a:r>
          <a:r>
            <a:rPr lang="en-IN" sz="1100" kern="1200" baseline="0"/>
            <a:t> the Total marks of each student</a:t>
          </a:r>
        </a:p>
        <a:p>
          <a:pPr algn="l"/>
          <a:r>
            <a:rPr lang="en-IN" sz="1100" kern="1200" baseline="0"/>
            <a:t>Calculate the Percentage of each students</a:t>
          </a:r>
        </a:p>
        <a:p>
          <a:pPr algn="l"/>
          <a:r>
            <a:rPr lang="en-IN" sz="1100" kern="1200" baseline="0"/>
            <a:t>Calculate the Min &amp; Max of each students</a:t>
          </a:r>
        </a:p>
        <a:p>
          <a:pPr algn="l"/>
          <a:r>
            <a:rPr lang="en-IN" sz="1100" kern="1200" baseline="0"/>
            <a:t>Give grades to the students accordinng to their percentage</a:t>
          </a:r>
        </a:p>
        <a:p>
          <a:pPr algn="l"/>
          <a:r>
            <a:rPr lang="en-IN" sz="1100" kern="1200" baseline="0"/>
            <a:t>Create Column Chart of the Report Card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3175</xdr:colOff>
      <xdr:row>1</xdr:row>
      <xdr:rowOff>12700</xdr:rowOff>
    </xdr:from>
    <xdr:to>
      <xdr:col>10</xdr:col>
      <xdr:colOff>327025</xdr:colOff>
      <xdr:row>15</xdr:row>
      <xdr:rowOff>177800</xdr:rowOff>
    </xdr:to>
    <xdr:graphicFrame macro="">
      <xdr:nvGraphicFramePr>
        <xdr:cNvPr id="3" name="Chart 2">
          <a:extLst>
            <a:ext uri="{FF2B5EF4-FFF2-40B4-BE49-F238E27FC236}">
              <a16:creationId xmlns=""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6351</xdr:colOff>
      <xdr:row>6</xdr:row>
      <xdr:rowOff>12700</xdr:rowOff>
    </xdr:from>
    <xdr:to>
      <xdr:col>10</xdr:col>
      <xdr:colOff>622301</xdr:colOff>
      <xdr:row>21</xdr:row>
      <xdr:rowOff>127000</xdr:rowOff>
    </xdr:to>
    <xdr:graphicFrame macro="">
      <xdr:nvGraphicFramePr>
        <xdr:cNvPr id="2" name="Chart 1">
          <a:extLst>
            <a:ext uri="{FF2B5EF4-FFF2-40B4-BE49-F238E27FC236}">
              <a16:creationId xmlns=""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482600</xdr:colOff>
      <xdr:row>3</xdr:row>
      <xdr:rowOff>25400</xdr:rowOff>
    </xdr:from>
    <xdr:to>
      <xdr:col>12</xdr:col>
      <xdr:colOff>482600</xdr:colOff>
      <xdr:row>16</xdr:row>
      <xdr:rowOff>155575</xdr:rowOff>
    </xdr:to>
    <mc:AlternateContent xmlns:mc="http://schemas.openxmlformats.org/markup-compatibility/2006" xmlns:a14="http://schemas.microsoft.com/office/drawing/2010/main">
      <mc:Choice Requires="a14">
        <xdr:graphicFrame macro="">
          <xdr:nvGraphicFramePr>
            <xdr:cNvPr id="2" name="SALES MANAGER">
              <a:extLst>
                <a:ext uri="{FF2B5EF4-FFF2-40B4-BE49-F238E27FC236}">
                  <a16:creationId xmlns="" xmlns:a16="http://schemas.microsoft.com/office/drawing/2014/main" id="{00000000-0008-0000-1200-000002000000}"/>
                </a:ext>
              </a:extLst>
            </xdr:cNvPr>
            <xdr:cNvGraphicFramePr/>
          </xdr:nvGraphicFramePr>
          <xdr:xfrm>
            <a:off x="0" y="0"/>
            <a:ext cx="0" cy="0"/>
          </xdr:xfrm>
          <a:graphic>
            <a:graphicData uri="http://schemas.microsoft.com/office/drawing/2010/slicer">
              <sle:slicer xmlns:sle="http://schemas.microsoft.com/office/drawing/2010/slicer" name="SALES MANAGER"/>
            </a:graphicData>
          </a:graphic>
        </xdr:graphicFrame>
      </mc:Choice>
      <mc:Fallback xmlns="" xmlns:r="http://schemas.openxmlformats.org/officeDocument/2006/relationships">
        <xdr:sp macro="" textlink="">
          <xdr:nvSpPr>
            <xdr:cNvPr id="0" name=""/>
            <xdr:cNvSpPr>
              <a:spLocks noTextEdit="1"/>
            </xdr:cNvSpPr>
          </xdr:nvSpPr>
          <xdr:spPr>
            <a:xfrm>
              <a:off x="9740900" y="723900"/>
              <a:ext cx="1885950" cy="252412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8" name="DATE">
          <a:extLst>
            <a:ext uri="{FF2B5EF4-FFF2-40B4-BE49-F238E27FC236}">
              <a16:creationId xmlns="" xmlns:a16="http://schemas.microsoft.com/office/drawing/2014/main" id="{00000000-0008-0000-1800-000008000000}"/>
            </a:ext>
          </a:extLst>
        </xdr:cNvPr>
        <xdr:cNvSpPr/>
      </xdr:nvSpPr>
      <xdr:spPr>
        <a:xfrm>
          <a:off x="0" y="0"/>
          <a:ext cx="0" cy="0"/>
        </a:xfrm>
      </xdr:spPr>
    </xdr:sp>
    <xdr:clientData/>
  </xdr:twoCellAnchor>
  <xdr:twoCellAnchor>
    <xdr:from>
      <xdr:col>6</xdr:col>
      <xdr:colOff>23091</xdr:colOff>
      <xdr:row>2</xdr:row>
      <xdr:rowOff>78799</xdr:rowOff>
    </xdr:from>
    <xdr:to>
      <xdr:col>13</xdr:col>
      <xdr:colOff>200603</xdr:colOff>
      <xdr:row>17</xdr:row>
      <xdr:rowOff>7794</xdr:rowOff>
    </xdr:to>
    <xdr:graphicFrame macro="">
      <xdr:nvGraphicFramePr>
        <xdr:cNvPr id="11" name="Chart 10">
          <a:extLst>
            <a:ext uri="{FF2B5EF4-FFF2-40B4-BE49-F238E27FC236}">
              <a16:creationId xmlns="" xmlns:a16="http://schemas.microsoft.com/office/drawing/2014/main" id="{2981A992-869D-0CBD-4B2B-64B4A96C2A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2</xdr:col>
      <xdr:colOff>696479</xdr:colOff>
      <xdr:row>12</xdr:row>
      <xdr:rowOff>53108</xdr:rowOff>
    </xdr:from>
    <xdr:to>
      <xdr:col>5</xdr:col>
      <xdr:colOff>670791</xdr:colOff>
      <xdr:row>25</xdr:row>
      <xdr:rowOff>138256</xdr:rowOff>
    </xdr:to>
    <mc:AlternateContent xmlns:mc="http://schemas.openxmlformats.org/markup-compatibility/2006">
      <mc:Choice xmlns="" xmlns:sle15="http://schemas.microsoft.com/office/drawing/2012/slicer" Requires="sle15">
        <xdr:graphicFrame macro="">
          <xdr:nvGraphicFramePr>
            <xdr:cNvPr id="12" name="PHONE">
              <a:extLst>
                <a:ext uri="{FF2B5EF4-FFF2-40B4-BE49-F238E27FC236}">
                  <a16:creationId xmlns:a16="http://schemas.microsoft.com/office/drawing/2014/main" id="{E7B05FCA-1FC0-5757-A55D-CFB471FD54FD}"/>
                </a:ext>
              </a:extLst>
            </xdr:cNvPr>
            <xdr:cNvGraphicFramePr/>
          </xdr:nvGraphicFramePr>
          <xdr:xfrm>
            <a:off x="0" y="0"/>
            <a:ext cx="0" cy="0"/>
          </xdr:xfrm>
          <a:graphic>
            <a:graphicData uri="http://schemas.microsoft.com/office/drawing/2010/slicer">
              <sle:slicer xmlns:sle="http://schemas.microsoft.com/office/drawing/2010/slicer" name="PHONE"/>
            </a:graphicData>
          </a:graphic>
        </xdr:graphicFrame>
      </mc:Choice>
      <mc:Fallback>
        <xdr:sp macro="" textlink="">
          <xdr:nvSpPr>
            <xdr:cNvPr id="2" name="Rectangle 1"/>
            <xdr:cNvSpPr>
              <a:spLocks noTextEdit="1"/>
            </xdr:cNvSpPr>
          </xdr:nvSpPr>
          <xdr:spPr>
            <a:xfrm>
              <a:off x="2471593" y="238384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311150</xdr:colOff>
      <xdr:row>18</xdr:row>
      <xdr:rowOff>50800</xdr:rowOff>
    </xdr:from>
    <xdr:to>
      <xdr:col>14</xdr:col>
      <xdr:colOff>130175</xdr:colOff>
      <xdr:row>32</xdr:row>
      <xdr:rowOff>152400</xdr:rowOff>
    </xdr:to>
    <xdr:graphicFrame macro="">
      <xdr:nvGraphicFramePr>
        <xdr:cNvPr id="2" name="Chart 1">
          <a:extLst>
            <a:ext uri="{FF2B5EF4-FFF2-40B4-BE49-F238E27FC236}">
              <a16:creationId xmlns=""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82550</xdr:colOff>
      <xdr:row>2</xdr:row>
      <xdr:rowOff>44450</xdr:rowOff>
    </xdr:from>
    <xdr:to>
      <xdr:col>13</xdr:col>
      <xdr:colOff>590550</xdr:colOff>
      <xdr:row>17</xdr:row>
      <xdr:rowOff>146050</xdr:rowOff>
    </xdr:to>
    <xdr:graphicFrame macro="">
      <xdr:nvGraphicFramePr>
        <xdr:cNvPr id="3" name="Chart 2">
          <a:extLst>
            <a:ext uri="{FF2B5EF4-FFF2-40B4-BE49-F238E27FC236}">
              <a16:creationId xmlns="" xmlns:a16="http://schemas.microsoft.com/office/drawing/2014/main" id="{00000000-0008-0000-1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12</xdr:col>
      <xdr:colOff>146050</xdr:colOff>
      <xdr:row>8</xdr:row>
      <xdr:rowOff>120650</xdr:rowOff>
    </xdr:from>
    <xdr:to>
      <xdr:col>17</xdr:col>
      <xdr:colOff>508000</xdr:colOff>
      <xdr:row>11</xdr:row>
      <xdr:rowOff>171450</xdr:rowOff>
    </xdr:to>
    <xdr:sp macro="" textlink="">
      <xdr:nvSpPr>
        <xdr:cNvPr id="2" name="Rectangle 1">
          <a:extLst>
            <a:ext uri="{FF2B5EF4-FFF2-40B4-BE49-F238E27FC236}">
              <a16:creationId xmlns="" xmlns:a16="http://schemas.microsoft.com/office/drawing/2014/main" id="{00000000-0008-0000-1E00-000002000000}"/>
            </a:ext>
          </a:extLst>
        </xdr:cNvPr>
        <xdr:cNvSpPr/>
      </xdr:nvSpPr>
      <xdr:spPr>
        <a:xfrm>
          <a:off x="8204200" y="1676400"/>
          <a:ext cx="3505200" cy="6032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FIND</a:t>
          </a:r>
          <a:r>
            <a:rPr lang="en-IN" sz="1100" baseline="0"/>
            <a:t> OUT THE BASIC SALARY  BY VLOOKUP FUNCTION</a:t>
          </a:r>
        </a:p>
        <a:p>
          <a:pPr algn="l"/>
          <a:r>
            <a:rPr lang="en-IN" sz="1100" baseline="0"/>
            <a:t>FIND OUT THE VALUE OF DA,TA,HRA</a:t>
          </a:r>
        </a:p>
        <a:p>
          <a:pPr algn="l"/>
          <a:r>
            <a:rPr lang="en-IN" sz="1100" baseline="0"/>
            <a:t>	</a:t>
          </a:r>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508000</xdr:colOff>
      <xdr:row>36</xdr:row>
      <xdr:rowOff>103909</xdr:rowOff>
    </xdr:from>
    <xdr:to>
      <xdr:col>8</xdr:col>
      <xdr:colOff>658091</xdr:colOff>
      <xdr:row>43</xdr:row>
      <xdr:rowOff>69273</xdr:rowOff>
    </xdr:to>
    <xdr:sp macro="" textlink="">
      <xdr:nvSpPr>
        <xdr:cNvPr id="2" name="Rectangle 1">
          <a:extLst>
            <a:ext uri="{FF2B5EF4-FFF2-40B4-BE49-F238E27FC236}">
              <a16:creationId xmlns="" xmlns:a16="http://schemas.microsoft.com/office/drawing/2014/main" id="{00000000-0008-0000-2000-000002000000}"/>
            </a:ext>
          </a:extLst>
        </xdr:cNvPr>
        <xdr:cNvSpPr/>
      </xdr:nvSpPr>
      <xdr:spPr>
        <a:xfrm>
          <a:off x="4965700" y="6815455"/>
          <a:ext cx="4188460" cy="12547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a:p>
          <a:pPr algn="l"/>
          <a:endParaRPr lang="en-IN" sz="1100"/>
        </a:p>
        <a:p>
          <a:pPr algn="l"/>
          <a:r>
            <a:rPr lang="en-IN" sz="1100"/>
            <a:t>1. FIND THE TOTAL</a:t>
          </a:r>
          <a:r>
            <a:rPr lang="en-IN" sz="1100" baseline="0"/>
            <a:t> SALES IN RS BY PRODUCTION FUNCTION</a:t>
          </a:r>
        </a:p>
        <a:p>
          <a:pPr algn="l"/>
          <a:r>
            <a:rPr lang="en-IN" sz="1100" baseline="0"/>
            <a:t>2. FIND THE TOTAL SALES OF COMPUTER, OVEN, VCR</a:t>
          </a:r>
        </a:p>
        <a:p>
          <a:pPr algn="l"/>
          <a:r>
            <a:rPr lang="en-IN" sz="1100" baseline="0"/>
            <a:t>3. FIND THE TOTAL SALES OF ALL SALESMAN</a:t>
          </a:r>
        </a:p>
        <a:p>
          <a:pPr algn="l"/>
          <a:endParaRPr lang="en-IN"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254000</xdr:colOff>
      <xdr:row>28</xdr:row>
      <xdr:rowOff>6350</xdr:rowOff>
    </xdr:from>
    <xdr:to>
      <xdr:col>11</xdr:col>
      <xdr:colOff>184150</xdr:colOff>
      <xdr:row>41</xdr:row>
      <xdr:rowOff>6350</xdr:rowOff>
    </xdr:to>
    <xdr:sp macro="" textlink="">
      <xdr:nvSpPr>
        <xdr:cNvPr id="2" name="Rectangle 1">
          <a:extLst>
            <a:ext uri="{FF2B5EF4-FFF2-40B4-BE49-F238E27FC236}">
              <a16:creationId xmlns="" xmlns:a16="http://schemas.microsoft.com/office/drawing/2014/main" id="{00000000-0008-0000-2200-000002000000}"/>
            </a:ext>
          </a:extLst>
        </xdr:cNvPr>
        <xdr:cNvSpPr/>
      </xdr:nvSpPr>
      <xdr:spPr>
        <a:xfrm>
          <a:off x="965200" y="5245100"/>
          <a:ext cx="6464300" cy="23939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1) USING FUNCTION FIND TOTAL SUM AND AVG OF THE STUDENTS</a:t>
          </a:r>
        </a:p>
        <a:p>
          <a:pPr algn="l"/>
          <a:r>
            <a:rPr lang="en-IN" sz="1100"/>
            <a:t>2</a:t>
          </a:r>
          <a:r>
            <a:rPr lang="en-IN" sz="1100" baseline="0"/>
            <a:t>) FIND THE GRADE USING "IF" FUNCTION - IF AVRAGE&gt;70 THEN "A", AVERAGE &gt; 50 THEN "B",, AVERAGE &gt;33 THEN "C", OTHERWISE "FAIL".</a:t>
          </a:r>
        </a:p>
        <a:p>
          <a:pPr algn="l"/>
          <a:r>
            <a:rPr lang="en-IN" sz="1100" baseline="0"/>
            <a:t>3) HOW MANY STUDENTS HAVE "A" &amp; "B" GRADE.</a:t>
          </a:r>
        </a:p>
        <a:p>
          <a:pPr algn="l"/>
          <a:r>
            <a:rPr lang="en-IN" sz="1100" baseline="0"/>
            <a:t>4) COUNT HOW MANY STUDNTS,</a:t>
          </a:r>
        </a:p>
        <a:p>
          <a:pPr algn="l"/>
          <a:r>
            <a:rPr lang="en-IN" sz="1100" baseline="0"/>
            <a:t>5) GIVE THE RANK</a:t>
          </a:r>
        </a:p>
        <a:p>
          <a:pPr algn="l"/>
          <a:r>
            <a:rPr lang="en-IN" sz="1100" baseline="0"/>
            <a:t>6) HIGHLIGHT WITH GREEN COLOUR , HINDI &amp; ENGLISH SUBJECT NO &gt;20 &amp; &lt;15</a:t>
          </a:r>
        </a:p>
        <a:p>
          <a:pPr algn="l"/>
          <a:r>
            <a:rPr lang="en-IN" sz="1100" baseline="0"/>
            <a:t>7) CONDITONAL FORMATING</a:t>
          </a:r>
        </a:p>
        <a:p>
          <a:pPr algn="l"/>
          <a:r>
            <a:rPr lang="en-IN" sz="1100" baseline="0"/>
            <a:t>           A) HIGHLIGHT TOP 3 STUDENTS WITH GREEN COLOUR IN THE SUBJECT HINDI</a:t>
          </a:r>
        </a:p>
        <a:p>
          <a:pPr algn="l"/>
          <a:r>
            <a:rPr lang="en-IN" sz="1100" baseline="0"/>
            <a:t>           B) HIGHLIGHT TOP 2 STUDENTS WITH GREEN COLOUR IN THE SUBJECT ENGLISH</a:t>
          </a:r>
        </a:p>
        <a:p>
          <a:pPr algn="l"/>
          <a:r>
            <a:rPr lang="en-IN" sz="1100" baseline="0"/>
            <a:t>           C) HIGHLIGHT MARKS WITH YELLOW COLOUR WHICH ARE GREATER THAN 70 IN THE SUBJECT SCIENCE</a:t>
          </a:r>
        </a:p>
        <a:p>
          <a:pPr algn="l"/>
          <a:r>
            <a:rPr lang="en-IN" sz="1100" baseline="0"/>
            <a:t>           D) HIGHLIGHT TOTAL MARKS WITH BLUE COLOUR WHICH ARE GREATER THAN 400</a:t>
          </a:r>
        </a:p>
        <a:p>
          <a:pPr algn="l"/>
          <a:endParaRPr lang="en-IN" sz="1100" baseline="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6350</xdr:colOff>
      <xdr:row>2</xdr:row>
      <xdr:rowOff>38100</xdr:rowOff>
    </xdr:from>
    <xdr:to>
      <xdr:col>12</xdr:col>
      <xdr:colOff>285115</xdr:colOff>
      <xdr:row>7</xdr:row>
      <xdr:rowOff>177165</xdr:rowOff>
    </xdr:to>
    <xdr:sp macro="" textlink="">
      <xdr:nvSpPr>
        <xdr:cNvPr id="2" name="Rectangles 1">
          <a:extLst>
            <a:ext uri="{FF2B5EF4-FFF2-40B4-BE49-F238E27FC236}">
              <a16:creationId xmlns="" xmlns:a16="http://schemas.microsoft.com/office/drawing/2014/main" id="{00000000-0008-0000-2300-000002000000}"/>
            </a:ext>
          </a:extLst>
        </xdr:cNvPr>
        <xdr:cNvSpPr/>
      </xdr:nvSpPr>
      <xdr:spPr>
        <a:xfrm>
          <a:off x="3663950" y="406400"/>
          <a:ext cx="3936365" cy="1059815"/>
        </a:xfrm>
        <a:prstGeom prst="rect">
          <a:avLst/>
        </a:prstGeom>
      </xdr:spPr>
      <xdr:style>
        <a:lnRef idx="0">
          <a:srgbClr val="FFFFFF"/>
        </a:lnRef>
        <a:fillRef idx="1">
          <a:schemeClr val="accent1"/>
        </a:fillRef>
        <a:effectRef idx="0">
          <a:srgbClr val="FFFFFF"/>
        </a:effectRef>
        <a:fontRef idx="minor">
          <a:schemeClr val="lt1"/>
        </a:fontRef>
      </xdr:style>
      <xdr:txBody>
        <a:bodyPr vertOverflow="clip" horzOverflow="clip" wrap="square" rtlCol="0" anchor="t"/>
        <a:lstStyle/>
        <a:p>
          <a:pPr algn="l"/>
          <a:r>
            <a:rPr lang="en-US" sz="1100"/>
            <a:t>1. FIND AND SEARCH “K” FROM “MALKEET”</a:t>
          </a:r>
        </a:p>
        <a:p>
          <a:pPr algn="l"/>
          <a:r>
            <a:rPr lang="en-US" sz="1100"/>
            <a:t>2. REPLACE “H” WITH “E” FROM “MALKEET” USING SUBSTITUDE FUNCTION.</a:t>
          </a:r>
        </a:p>
        <a:p>
          <a:pPr algn="l"/>
          <a:endParaRPr lang="en-US" sz="1100"/>
        </a:p>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MAGIC PURPLE" refreshedDate="45566.601601388902" createdVersion="8" refreshedVersion="8" minRefreshableVersion="3" recordCount="15">
  <cacheSource type="worksheet">
    <worksheetSource name="Table5"/>
  </cacheSource>
  <cacheFields count="7">
    <cacheField name="DATE" numFmtId="14">
      <sharedItems containsSemiMixedTypes="0" containsNonDate="0" containsDate="1" containsString="0" minDate="2024-09-01T00:00:00" maxDate="2024-09-15T00:00:00" count="15">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sharedItems>
    </cacheField>
    <cacheField name="SALES MANAGER" numFmtId="0">
      <sharedItems count="6">
        <s v="MANISH"/>
        <s v="ANUJ"/>
        <s v="HARSH"/>
        <s v="SURAJ"/>
        <s v="PRIYA"/>
        <s v="ARTI"/>
      </sharedItems>
    </cacheField>
    <cacheField name="ITEM NAME" numFmtId="0">
      <sharedItems count="5">
        <s v="COMPUTER"/>
        <s v="LAPTOP"/>
        <s v="KEYBOARD"/>
        <s v="CPU"/>
        <s v="PRINTER"/>
      </sharedItems>
    </cacheField>
    <cacheField name="COMPANY" numFmtId="0">
      <sharedItems count="3">
        <s v="INTEL"/>
        <s v="DELL"/>
        <s v="SAMSUNG"/>
      </sharedItems>
    </cacheField>
    <cacheField name="QTY" numFmtId="0">
      <sharedItems containsSemiMixedTypes="0" containsNonDate="0" containsString="0"/>
    </cacheField>
    <cacheField name="RATE" numFmtId="0">
      <sharedItems containsSemiMixedTypes="0" containsNonDate="0" containsString="0"/>
    </cacheField>
    <cacheField name="AMOUNT" numFmtId="0">
      <sharedItems containsSemiMixedTypes="0" containsNonDate="0" containsString="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MAGIC PURPLE" refreshedDate="45566.608636111101" createdVersion="8" refreshedVersion="8" minRefreshableVersion="3" recordCount="15">
  <cacheSource type="worksheet">
    <worksheetSource ref="A1:E16" sheet="PT 2"/>
  </cacheSource>
  <cacheFields count="5">
    <cacheField name="S.No." numFmtId="0">
      <sharedItems containsSemiMixedTypes="0" containsNonDate="0" containsString="0"/>
    </cacheField>
    <cacheField name="SALESMEN" numFmtId="0">
      <sharedItems count="6">
        <s v="SUNIL"/>
        <s v="MANISH"/>
        <s v="ARTI"/>
        <s v="SUDHIR"/>
        <s v="ANJALI"/>
        <s v="NAVEEN"/>
      </sharedItems>
    </cacheField>
    <cacheField name="PRODUCT" numFmtId="0">
      <sharedItems count="5">
        <s v="PRINTER"/>
        <s v="COMPUTER"/>
        <s v="KEYBOARD"/>
        <s v="CPU"/>
        <s v="MONITOR"/>
      </sharedItems>
    </cacheField>
    <cacheField name="REGION" numFmtId="0">
      <sharedItems containsSemiMixedTypes="0" containsNonDate="0" containsString="0"/>
    </cacheField>
    <cacheField name="SALES" numFmtId="0">
      <sharedItems containsSemiMixedTypes="0" containsString="0" containsNumber="1" containsInteger="1" minValue="0" maxValue="52331" count="15">
        <n v="37388"/>
        <n v="28128"/>
        <n v="35459"/>
        <n v="23034"/>
        <n v="47041"/>
        <n v="37057"/>
        <n v="23683"/>
        <n v="43558"/>
        <n v="29715"/>
        <n v="43654"/>
        <n v="44034"/>
        <n v="38395"/>
        <n v="25867"/>
        <n v="52331"/>
        <n v="2407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x v="0"/>
    <x v="0"/>
    <s v=" NORTH"/>
    <x v="0"/>
  </r>
  <r>
    <n v="2"/>
    <x v="1"/>
    <x v="1"/>
    <s v="SOUTH"/>
    <x v="1"/>
  </r>
  <r>
    <n v="3"/>
    <x v="2"/>
    <x v="2"/>
    <s v="WEST"/>
    <x v="2"/>
  </r>
  <r>
    <n v="4"/>
    <x v="3"/>
    <x v="0"/>
    <s v="NORTH"/>
    <x v="3"/>
  </r>
  <r>
    <n v="5"/>
    <x v="1"/>
    <x v="3"/>
    <s v="SOUTH"/>
    <x v="4"/>
  </r>
  <r>
    <n v="6"/>
    <x v="4"/>
    <x v="1"/>
    <s v="EAST"/>
    <x v="5"/>
  </r>
  <r>
    <n v="7"/>
    <x v="1"/>
    <x v="2"/>
    <s v="WEST"/>
    <x v="6"/>
  </r>
  <r>
    <n v="8"/>
    <x v="5"/>
    <x v="3"/>
    <s v="NORTH"/>
    <x v="7"/>
  </r>
  <r>
    <n v="9"/>
    <x v="2"/>
    <x v="4"/>
    <s v="SOUTH"/>
    <x v="8"/>
  </r>
  <r>
    <n v="10"/>
    <x v="3"/>
    <x v="0"/>
    <s v="WEST"/>
    <x v="9"/>
  </r>
  <r>
    <n v="11"/>
    <x v="5"/>
    <x v="2"/>
    <s v="EAST"/>
    <x v="10"/>
  </r>
  <r>
    <n v="12"/>
    <x v="1"/>
    <x v="4"/>
    <s v="NORTH"/>
    <x v="11"/>
  </r>
  <r>
    <n v="13"/>
    <x v="0"/>
    <x v="4"/>
    <s v="SOUTH"/>
    <x v="12"/>
  </r>
  <r>
    <n v="14"/>
    <x v="2"/>
    <x v="1"/>
    <s v="SOUTH"/>
    <x v="13"/>
  </r>
  <r>
    <n v="15"/>
    <x v="3"/>
    <x v="3"/>
    <s v="EAST"/>
    <x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NKIT"/>
    <x v="0"/>
    <x v="0"/>
    <n v="0.59"/>
    <x v="0"/>
  </r>
  <r>
    <s v="ASHISH"/>
    <x v="1"/>
    <x v="1"/>
    <n v="0.66"/>
    <x v="1"/>
  </r>
  <r>
    <s v="KARTIK"/>
    <x v="2"/>
    <x v="2"/>
    <n v="0.7"/>
    <x v="2"/>
  </r>
  <r>
    <s v="MANISH"/>
    <x v="3"/>
    <x v="3"/>
    <n v="0.3"/>
    <x v="2"/>
  </r>
  <r>
    <s v="PANKAJ"/>
    <x v="2"/>
    <x v="4"/>
    <n v="0.29499999999999998"/>
    <x v="1"/>
  </r>
  <r>
    <s v="SURAJ"/>
    <x v="1"/>
    <x v="5"/>
    <n v="0.67900000000000005"/>
    <x v="0"/>
  </r>
  <r>
    <s v="ANUJ"/>
    <x v="1"/>
    <x v="6"/>
    <n v="0.47"/>
    <x v="1"/>
  </r>
  <r>
    <s v="CHANCHAL"/>
    <x v="3"/>
    <x v="7"/>
    <n v="0.68810000000000004"/>
    <x v="3"/>
  </r>
  <r>
    <s v="LOKESH"/>
    <x v="0"/>
    <x v="8"/>
    <n v="0.2281"/>
    <x v="0"/>
  </r>
  <r>
    <s v="NARAYAN"/>
    <x v="3"/>
    <x v="9"/>
    <n v="0.7799000000000000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2" cacheId="0" dataPosition="1"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I51" firstHeaderRow="1" firstDataRow="3" firstDataCol="1"/>
  <pivotFields count="7">
    <pivotField axis="axisRow" numFmtId="14" showAll="0">
      <items count="16">
        <item x="0"/>
        <item x="1"/>
        <item x="2"/>
        <item x="3"/>
        <item x="4"/>
        <item x="5"/>
        <item x="6"/>
        <item x="7"/>
        <item x="8"/>
        <item x="9"/>
        <item x="10"/>
        <item x="11"/>
        <item x="12"/>
        <item x="13"/>
        <item x="14"/>
        <item t="default"/>
      </items>
    </pivotField>
    <pivotField axis="axisRow" showAll="0">
      <items count="7">
        <item x="1"/>
        <item x="5"/>
        <item x="2"/>
        <item x="0"/>
        <item x="4"/>
        <item x="3"/>
        <item t="default"/>
      </items>
    </pivotField>
    <pivotField axis="axisRow" showAll="0">
      <items count="6">
        <item x="0"/>
        <item x="3"/>
        <item x="2"/>
        <item x="1"/>
        <item x="4"/>
        <item t="default"/>
      </items>
    </pivotField>
    <pivotField axis="axisCol" showAll="0">
      <items count="4">
        <item x="1"/>
        <item x="0"/>
        <item x="2"/>
        <item t="default"/>
      </items>
    </pivotField>
    <pivotField dataField="1" showAll="0"/>
    <pivotField showAll="0"/>
    <pivotField dataField="1" showAll="0"/>
  </pivotFields>
  <rowFields count="3">
    <field x="0"/>
    <field x="1"/>
    <field x="2"/>
  </rowFields>
  <rowItems count="46">
    <i>
      <x/>
    </i>
    <i r="1">
      <x v="3"/>
    </i>
    <i r="2">
      <x/>
    </i>
    <i>
      <x v="1"/>
    </i>
    <i r="1">
      <x/>
    </i>
    <i r="2">
      <x v="3"/>
    </i>
    <i>
      <x v="2"/>
    </i>
    <i r="1">
      <x v="2"/>
    </i>
    <i r="2">
      <x v="2"/>
    </i>
    <i>
      <x v="3"/>
    </i>
    <i r="1">
      <x v="5"/>
    </i>
    <i r="2">
      <x v="1"/>
    </i>
    <i>
      <x v="4"/>
    </i>
    <i r="1">
      <x v="4"/>
    </i>
    <i r="2">
      <x v="1"/>
    </i>
    <i>
      <x v="5"/>
    </i>
    <i r="1">
      <x v="3"/>
    </i>
    <i r="2">
      <x v="2"/>
    </i>
    <i>
      <x v="6"/>
    </i>
    <i r="1">
      <x v="5"/>
    </i>
    <i r="2">
      <x/>
    </i>
    <i>
      <x v="7"/>
    </i>
    <i r="1">
      <x v="4"/>
    </i>
    <i r="2">
      <x v="4"/>
    </i>
    <i>
      <x v="8"/>
    </i>
    <i r="1">
      <x v="3"/>
    </i>
    <i r="2">
      <x v="2"/>
    </i>
    <i>
      <x v="9"/>
    </i>
    <i r="1">
      <x v="1"/>
    </i>
    <i r="2">
      <x v="3"/>
    </i>
    <i>
      <x v="10"/>
    </i>
    <i r="1">
      <x v="5"/>
    </i>
    <i r="2">
      <x v="4"/>
    </i>
    <i>
      <x v="11"/>
    </i>
    <i r="1">
      <x v="4"/>
    </i>
    <i r="2">
      <x v="1"/>
    </i>
    <i>
      <x v="12"/>
    </i>
    <i r="1">
      <x v="3"/>
    </i>
    <i r="2">
      <x/>
    </i>
    <i>
      <x v="13"/>
    </i>
    <i r="1">
      <x/>
    </i>
    <i r="2">
      <x v="4"/>
    </i>
    <i>
      <x v="14"/>
    </i>
    <i r="1">
      <x/>
    </i>
    <i r="2">
      <x v="2"/>
    </i>
    <i t="grand">
      <x/>
    </i>
  </rowItems>
  <colFields count="2">
    <field x="3"/>
    <field x="-2"/>
  </colFields>
  <colItems count="8">
    <i>
      <x/>
      <x/>
    </i>
    <i r="1" i="1">
      <x v="1"/>
    </i>
    <i>
      <x v="1"/>
      <x/>
    </i>
    <i r="1" i="1">
      <x v="1"/>
    </i>
    <i>
      <x v="2"/>
      <x/>
    </i>
    <i r="1" i="1">
      <x v="1"/>
    </i>
    <i t="grand">
      <x/>
    </i>
    <i t="grand" i="1">
      <x/>
    </i>
  </colItems>
  <dataFields count="2">
    <dataField name="Sum of QTY" fld="4" baseField="0" baseItem="0"/>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G11" firstHeaderRow="1" firstDataRow="2" firstDataCol="1"/>
  <pivotFields count="5">
    <pivotField showAll="0"/>
    <pivotField axis="axisRow" showAll="0">
      <items count="7">
        <item x="4"/>
        <item x="2"/>
        <item x="1"/>
        <item x="5"/>
        <item x="3"/>
        <item x="0"/>
        <item t="default"/>
      </items>
    </pivotField>
    <pivotField axis="axisCol" showAll="0">
      <items count="6">
        <item x="1"/>
        <item x="3"/>
        <item x="2"/>
        <item x="4"/>
        <item x="0"/>
        <item t="default"/>
      </items>
    </pivotField>
    <pivotField showAll="0"/>
    <pivotField dataField="1" showAll="0">
      <items count="16">
        <item x="3"/>
        <item x="6"/>
        <item x="14"/>
        <item x="12"/>
        <item x="1"/>
        <item x="8"/>
        <item x="2"/>
        <item x="5"/>
        <item x="0"/>
        <item x="11"/>
        <item x="7"/>
        <item x="9"/>
        <item x="10"/>
        <item x="4"/>
        <item x="13"/>
        <item t="default"/>
      </items>
    </pivotField>
  </pivotFields>
  <rowFields count="1">
    <field x="1"/>
  </rowFields>
  <rowItems count="7">
    <i>
      <x/>
    </i>
    <i>
      <x v="1"/>
    </i>
    <i>
      <x v="2"/>
    </i>
    <i>
      <x v="3"/>
    </i>
    <i>
      <x v="4"/>
    </i>
    <i>
      <x v="5"/>
    </i>
    <i t="grand">
      <x/>
    </i>
  </rowItems>
  <colFields count="1">
    <field x="2"/>
  </colFields>
  <colItems count="6">
    <i>
      <x/>
    </i>
    <i>
      <x v="1"/>
    </i>
    <i>
      <x v="2"/>
    </i>
    <i>
      <x v="3"/>
    </i>
    <i>
      <x v="4"/>
    </i>
    <i t="grand">
      <x/>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MANAGER" sourceName="SALES MANAGER">
  <pivotTables>
    <pivotTable tabId="18" name="PivotTable2"/>
  </pivotTables>
  <data>
    <tabular pivotCacheId="1">
      <items count="6">
        <i x="1" s="1"/>
        <i x="5" s="1"/>
        <i x="2"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ONE" xr10:uid="{1A263896-E20D-4F02-9EC6-21270E3FDB6E}" sourceName="PHONE">
  <extLst>
    <x:ext xmlns:x15="http://schemas.microsoft.com/office/spreadsheetml/2010/11/main" uri="{2F2917AC-EB37-4324-AD4E-5DD8C200BD13}">
      <x15:tableSlicerCache tableId="25"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MANAGER" cache="Slicer_SALES_MANAGER" caption="SALES MANAG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ONE" xr10:uid="{DE0824D8-381F-4051-BDC7-43B6C4F8786C}" cache="Slicer_PHONE" caption="PHONE" rowHeight="396000"/>
</slicers>
</file>

<file path=xl/tables/table1.xml><?xml version="1.0" encoding="utf-8"?>
<table xmlns="http://schemas.openxmlformats.org/spreadsheetml/2006/main" id="27" name="Table252728" displayName="Table252728" ref="A3:H13">
  <autoFilter ref="A3:H1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Student name" totalsRowLabel="Total"/>
    <tableColumn id="2" name="English"/>
    <tableColumn id="3" name="Hindi"/>
    <tableColumn id="4" name="Science"/>
    <tableColumn id="5" name="SST"/>
    <tableColumn id="6" name="Maths"/>
    <tableColumn id="7" name="TOTAL">
      <calculatedColumnFormula>SUM(B4:F4)</calculatedColumnFormula>
    </tableColumn>
    <tableColumn id="8" name="Percentage" totalsRowFunction="sum">
      <calculatedColumnFormula>AVERAGE(B4:F4)</calculatedColumnFormula>
    </tableColumn>
  </tableColumns>
  <tableStyleInfo name="TableStyleLight8" showFirstColumn="1" showLastColumn="0" showRowStripes="1" showColumnStripes="1"/>
</table>
</file>

<file path=xl/tables/table2.xml><?xml version="1.0" encoding="utf-8"?>
<table xmlns="http://schemas.openxmlformats.org/spreadsheetml/2006/main" id="3" name="Table3" displayName="Table3" ref="A1:K11">
  <autoFilter ref="A1:K1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name="CAR NAMES" totalsRowLabel="Total"/>
    <tableColumn id="2" name="DAY 1"/>
    <tableColumn id="3" name="DAY 2"/>
    <tableColumn id="4" name="DAY 3"/>
    <tableColumn id="5" name="DAY 4"/>
    <tableColumn id="6" name="DAY 5"/>
    <tableColumn id="7" name="DAY 6"/>
    <tableColumn id="8" name="DAY 7"/>
    <tableColumn id="9" name="TOTAL">
      <calculatedColumnFormula>SUM(B2:H2)</calculatedColumnFormula>
    </tableColumn>
    <tableColumn id="10" name="Petrol"/>
    <tableColumn id="11" name="Mileage" totalsRowFunction="sum">
      <calculatedColumnFormula>I2/J2</calculatedColumnFormula>
    </tableColumn>
  </tableColumns>
  <tableStyleInfo name="TableStyleMedium1" showFirstColumn="1" showLastColumn="1" showRowStripes="1" showColumnStripes="0"/>
</table>
</file>

<file path=xl/tables/table3.xml><?xml version="1.0" encoding="utf-8"?>
<table xmlns="http://schemas.openxmlformats.org/spreadsheetml/2006/main" id="1" name="Table1" displayName="Table1" ref="A1:L7" totalsRowShown="0">
  <autoFilter ref="A1:L7"/>
  <tableColumns count="12">
    <tableColumn id="1" name="Student Name"/>
    <tableColumn id="2" name="English"/>
    <tableColumn id="3" name="Accountancy"/>
    <tableColumn id="4" name="BST"/>
    <tableColumn id="5" name="Econimics"/>
    <tableColumn id="6" name="IP"/>
    <tableColumn id="7" name="TOTAL" dataDxfId="74">
      <calculatedColumnFormula>SUM(Table1[[#This Row],[English]:[IP]])</calculatedColumnFormula>
    </tableColumn>
    <tableColumn id="8" name="Average" dataDxfId="73">
      <calculatedColumnFormula>AVERAGE(Table1[[#This Row],[English]:[IP]])</calculatedColumnFormula>
    </tableColumn>
    <tableColumn id="9" name="MAX" dataDxfId="72">
      <calculatedColumnFormula>MAX(Table1[[#This Row],[English]:[IP]])</calculatedColumnFormula>
    </tableColumn>
    <tableColumn id="10" name="MIN" dataDxfId="71">
      <calculatedColumnFormula>MIN(Table1[[#This Row],[English]:[IP]])</calculatedColumnFormula>
    </tableColumn>
    <tableColumn id="11" name="Count" dataDxfId="70">
      <calculatedColumnFormula>COUNT(Table1[[#This Row],[English]:[IP]])</calculatedColumnFormula>
    </tableColumn>
    <tableColumn id="12" name="Grade" dataDxfId="69">
      <calculatedColumnFormula>IF(Table1[[#This Row],[Average]]&gt;75,"A",IF(Table1[[#This Row],[Average]]&gt;60,"B",IF(Table1[[#This Row],[Average]]&gt;50,"C","WORK HARD")))</calculatedColumnFormula>
    </tableColumn>
  </tableColumns>
  <tableStyleInfo name="TableStyleMedium1" showFirstColumn="0" showLastColumn="0" showRowStripes="1" showColumnStripes="0"/>
</table>
</file>

<file path=xl/tables/table4.xml><?xml version="1.0" encoding="utf-8"?>
<table xmlns="http://schemas.openxmlformats.org/spreadsheetml/2006/main" id="28" name="Table28" displayName="Table28" ref="A1:B6" totalsRowShown="0">
  <autoFilter ref="A1:B6">
    <filterColumn colId="0" hiddenButton="1"/>
    <filterColumn colId="1" hiddenButton="1"/>
  </autoFilter>
  <tableColumns count="2">
    <tableColumn id="1" name="YEAR"/>
    <tableColumn id="2" name="Growth of Computec" dataDxfId="68"/>
  </tableColumns>
  <tableStyleInfo name="TableStyleDark1" showFirstColumn="0" showLastColumn="0" showRowStripes="1" showColumnStripes="0"/>
</table>
</file>

<file path=xl/tables/table5.xml><?xml version="1.0" encoding="utf-8"?>
<table xmlns="http://schemas.openxmlformats.org/spreadsheetml/2006/main" id="2" name="Table2" displayName="Table2" ref="A1:H12" totalsRowShown="0">
  <autoFilter ref="A1:H12"/>
  <tableColumns count="8">
    <tableColumn id="1" name="Name"/>
    <tableColumn id="2" name="Surname"/>
    <tableColumn id="3" name="English"/>
    <tableColumn id="4" name="Hindi"/>
    <tableColumn id="5" name="Maths"/>
    <tableColumn id="6" name="TOTAL" dataDxfId="67">
      <calculatedColumnFormula>SUM(Table2[[#This Row],[English]:[Maths]])</calculatedColumnFormula>
    </tableColumn>
    <tableColumn id="7" name="Average" dataDxfId="66">
      <calculatedColumnFormula>AVERAGE(Table2[[#This Row],[English]:[Maths]])</calculatedColumnFormula>
    </tableColumn>
    <tableColumn id="8" name="GRADE" dataDxfId="65">
      <calculatedColumnFormula>IF(Table2[[#This Row],[Average]]&gt;90,"A",IF(Table2[[#This Row],[Average]]&gt;80,"B",IF(Table2[[#This Row],[Average]]&gt;70,"C",IF(Table2[[#This Row],[Average]]&gt;60,"D",IF(Table2[[#This Row],[Average]]&gt;50,"E",IF(Table2[[#This Row],[Average]]&lt;0,"F","WORK HARD"))))))</calculatedColumnFormula>
    </tableColumn>
  </tableColumns>
  <tableStyleInfo name="TableStyleLight13" showFirstColumn="0" showLastColumn="0" showRowStripes="1" showColumnStripes="0"/>
</table>
</file>

<file path=xl/tables/table6.xml><?xml version="1.0" encoding="utf-8"?>
<table xmlns="http://schemas.openxmlformats.org/spreadsheetml/2006/main" id="4" name="Table4" displayName="Table4" ref="E2:F17" totalsRowShown="0">
  <autoFilter ref="E2:F17"/>
  <tableColumns count="2">
    <tableColumn id="1" name="ASSETS" dataDxfId="64"/>
    <tableColumn id="2" name="AMOUNT"/>
  </tableColumns>
  <tableStyleInfo name="TableStyleLight15" showFirstColumn="0" showLastColumn="0" showRowStripes="1" showColumnStripes="0"/>
</table>
</file>

<file path=xl/tables/table7.xml><?xml version="1.0" encoding="utf-8"?>
<table xmlns="http://schemas.openxmlformats.org/spreadsheetml/2006/main" id="5" name="Table5" displayName="Table5" ref="A1:G16" totalsRowShown="0">
  <autoFilter ref="A1:G1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DATE" dataDxfId="63"/>
    <tableColumn id="2" name="SALES MANAGER" dataDxfId="62"/>
    <tableColumn id="3" name="ITEM NAME" dataDxfId="61"/>
    <tableColumn id="4" name="COMPANY" dataDxfId="60"/>
    <tableColumn id="5" name="QTY"/>
    <tableColumn id="6" name="RATE"/>
    <tableColumn id="7" name="TOTAL SALES">
      <calculatedColumnFormula>F2*E2</calculatedColumnFormula>
    </tableColumn>
  </tableColumns>
  <tableStyleInfo name="TableStyleLight15" showFirstColumn="0" showLastColumn="1" showRowStripes="1" showColumnStripes="0"/>
</table>
</file>

<file path=xl/tables/table8.xml><?xml version="1.0" encoding="utf-8"?>
<table xmlns="http://schemas.openxmlformats.org/spreadsheetml/2006/main" id="32" name="Table32" displayName="Table32" ref="A4:F15" totalsRowShown="0" headerRowDxfId="59">
  <autoFilter ref="A4:F15">
    <filterColumn colId="0" hiddenButton="1"/>
    <filterColumn colId="1" hiddenButton="1"/>
    <filterColumn colId="2" hiddenButton="1"/>
    <filterColumn colId="3" hiddenButton="1"/>
    <filterColumn colId="4" hiddenButton="1"/>
    <filterColumn colId="5" hiddenButton="1"/>
  </autoFilter>
  <tableColumns count="6">
    <tableColumn id="1" name="CUSTOMER NAME"/>
    <tableColumn id="2" name="PRODUCT QTY"/>
    <tableColumn id="3" name="TOTAL BILL"/>
    <tableColumn id="4" name="IF" dataDxfId="58">
      <calculatedColumnFormula>IF(B5&gt;125,"33%","NO DISCOUNT")</calculatedColumnFormula>
    </tableColumn>
    <tableColumn id="5" name="OR" dataDxfId="57">
      <calculatedColumnFormula>IF(OR(B5&gt;120,C5&gt;99999),"33%","NO DISCOUNT")</calculatedColumnFormula>
    </tableColumn>
    <tableColumn id="6" name="AND">
      <calculatedColumnFormula>IF(AND(B5&gt;115,C5&gt;99999),"33%","NO DISCOUNT")</calculatedColumnFormula>
    </tableColumn>
  </tableColumns>
  <tableStyleInfo name="TableStyleLight8" showFirstColumn="1" showLastColumn="0" showRowStripes="1" showColumnStripes="1"/>
</table>
</file>

<file path=xl/tables/table9.xml><?xml version="1.0" encoding="utf-8"?>
<table xmlns="http://schemas.openxmlformats.org/spreadsheetml/2006/main" id="6" name="Table6" displayName="Table6" ref="A4:E20" totalsRowShown="0">
  <autoFilter ref="A4:E20"/>
  <tableColumns count="5">
    <tableColumn id="1" name="ITEMS" dataDxfId="56"/>
    <tableColumn id="2" name="QTY"/>
    <tableColumn id="3" name="AMOUNT"/>
    <tableColumn id="4" name="TOTAL">
      <calculatedColumnFormula>C5*B5</calculatedColumnFormula>
    </tableColumn>
    <tableColumn id="5" name="PROFIT"/>
  </tableColumns>
  <tableStyleInfo name="TableStyleLight15" showFirstColumn="0" showLastColumn="0" showRowStripes="1" showColumnStripes="0"/>
</table>
</file>

<file path=xl/tables/table10.xml><?xml version="1.0" encoding="utf-8"?>
<table xmlns="http://schemas.openxmlformats.org/spreadsheetml/2006/main" id="7" name="Table7" displayName="Table7" ref="H4:P7" totalsRowShown="0">
  <autoFilter ref="H4:P7"/>
  <tableColumns count="9">
    <tableColumn id="1" name="ITEMS" dataDxfId="55"/>
    <tableColumn id="2" name="QTY" dataDxfId="54"/>
    <tableColumn id="3" name="AMOUNT" dataDxfId="53"/>
    <tableColumn id="4" name="TOTAL"/>
    <tableColumn id="5" name="DMIIN"/>
    <tableColumn id="6" name="DMAX"/>
    <tableColumn id="7" name="DAVERAGE"/>
    <tableColumn id="8" name="DCOUNT"/>
    <tableColumn id="9" name="DSUM"/>
  </tableColumns>
  <tableStyleInfo name="TableStyleLight15" showFirstColumn="0" showLastColumn="0" showRowStripes="1" showColumnStripes="0"/>
</table>
</file>

<file path=xl/tables/table11.xml><?xml version="1.0" encoding="utf-8"?>
<table xmlns="http://schemas.openxmlformats.org/spreadsheetml/2006/main" id="8" name="Table8" displayName="Table8" ref="A3:Q13" totalsRowShown="0">
  <autoFilter ref="A3:Q1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name="EMPLOYEE NAME" dataDxfId="52"/>
    <tableColumn id="2" name="BASIC SALARY"/>
    <tableColumn id="3" name="HRA" dataDxfId="51">
      <calculatedColumnFormula>Table8[[#This Row],[BASIC SALARY]]*6%</calculatedColumnFormula>
    </tableColumn>
    <tableColumn id="4" name="DA" dataDxfId="50">
      <calculatedColumnFormula>Table8[[#This Row],[BASIC SALARY]]*7%</calculatedColumnFormula>
    </tableColumn>
    <tableColumn id="5" name="TA" dataDxfId="49">
      <calculatedColumnFormula>Table8[[#This Row],[BASIC SALARY]]*4%</calculatedColumnFormula>
    </tableColumn>
    <tableColumn id="6" name="PF" dataDxfId="48">
      <calculatedColumnFormula>Table8[[#This Row],[BASIC SALARY]]*9%</calculatedColumnFormula>
    </tableColumn>
    <tableColumn id="7" name="PER DAY SALARY" dataDxfId="47">
      <calculatedColumnFormula>Table8[[#This Row],[BASIC SALARY]]/30</calculatedColumnFormula>
    </tableColumn>
    <tableColumn id="8" name="PER HOUR SALARY" dataDxfId="46">
      <calculatedColumnFormula>Table8[[#This Row],[BASIC SALARY]]/8</calculatedColumnFormula>
    </tableColumn>
    <tableColumn id="9" name="TOTAL LEAVE"/>
    <tableColumn id="10" name="LEAVE DEDUCT SALARY" dataDxfId="45">
      <calculatedColumnFormula>Table8[[#This Row],[PER DAY SALARY]]*Table8[[#This Row],[TOTAL LEAVE]]</calculatedColumnFormula>
    </tableColumn>
    <tableColumn id="11" name="HALF DAY"/>
    <tableColumn id="12" name="HALF DAY SALARY" dataDxfId="44">
      <calculatedColumnFormula>Table8[[#This Row],[PER DAY SALARY]]/2*Table8[[#This Row],[HALF DAY]]</calculatedColumnFormula>
    </tableColumn>
    <tableColumn id="13" name="OVER TIME"/>
    <tableColumn id="14" name="OVERTIME SALARY" dataDxfId="43">
      <calculatedColumnFormula>Table8[[#This Row],[PER HOUR SALARY]]*Table8[[#This Row],[OVER TIME]]</calculatedColumnFormula>
    </tableColumn>
    <tableColumn id="15" name="GROSS  SALARY" dataDxfId="42">
      <calculatedColumnFormula>(Table8[[#This Row],[BASIC SALARY]]+Table8[[#This Row],[HRA]]+Table8[[#This Row],[DA]]+Table8[[#This Row],[TA]])-Table8[[#This Row],[PF]]</calculatedColumnFormula>
    </tableColumn>
    <tableColumn id="16" name="INCOME TAX" dataDxfId="41">
      <calculatedColumnFormula>Table8[[#This Row],[GROSS  SALARY]]*2%</calculatedColumnFormula>
    </tableColumn>
    <tableColumn id="17" name="NET SALARY" dataDxfId="40">
      <calculatedColumnFormula>Table8[[#This Row],[GROSS  SALARY]]-Table8[[#This Row],[INCOME TAX]]</calculatedColumnFormula>
    </tableColumn>
  </tableColumns>
  <tableStyleInfo name="TableStyleLight8" showFirstColumn="0" showLastColumn="0" showRowStripes="1" showColumnStripes="0"/>
</table>
</file>

<file path=xl/tables/table12.xml><?xml version="1.0" encoding="utf-8"?>
<table xmlns="http://schemas.openxmlformats.org/spreadsheetml/2006/main" id="25" name="Table25" displayName="Table25" ref="A2:C13" totalsRowShown="0" headerRowDxfId="39">
  <autoFilter ref="A2:C13">
    <filterColumn colId="0" hiddenButton="1"/>
    <filterColumn colId="1" hiddenButton="1"/>
    <filterColumn colId="2" hiddenButton="1"/>
  </autoFilter>
  <tableColumns count="3">
    <tableColumn id="1" name="PHONE"/>
    <tableColumn id="2" name="DATE" dataDxfId="38"/>
    <tableColumn id="3" name="SALES" dataDxfId="37"/>
  </tableColumns>
  <tableStyleInfo name="TableStyleDark1" showFirstColumn="0" showLastColumn="0" showRowStripes="1" showColumnStripes="0"/>
</table>
</file>

<file path=xl/tables/table13.xml><?xml version="1.0" encoding="utf-8"?>
<table xmlns="http://schemas.openxmlformats.org/spreadsheetml/2006/main" id="11" name="Table9" displayName="Table9_1" ref="A1:G10" totalsRowShown="0">
  <autoFilter ref="A1:G10"/>
  <tableColumns count="7">
    <tableColumn id="1" name="SALESMAN"/>
    <tableColumn id="2" name="COMPANY"/>
    <tableColumn id="3" name="ITEMS"/>
    <tableColumn id="4" name="QTY"/>
    <tableColumn id="5" name="RATE"/>
    <tableColumn id="6" name="AMOUNT"/>
    <tableColumn id="7" name="TOTAL"/>
  </tableColumns>
  <tableStyleInfo name="TableStyleMedium2" showFirstColumn="0" showLastColumn="0" showRowStripes="1" showColumnStripes="0"/>
</table>
</file>

<file path=xl/tables/table14.xml><?xml version="1.0" encoding="utf-8"?>
<table xmlns="http://schemas.openxmlformats.org/spreadsheetml/2006/main" id="10" name="Table10" displayName="Table10" ref="A4:E19" totalsRowShown="0">
  <autoFilter ref="A4:E19"/>
  <tableColumns count="5">
    <tableColumn id="1" name="PRODUCT"/>
    <tableColumn id="2" name="UNIT SOLD" dataDxfId="36"/>
    <tableColumn id="3" name="TABLE" dataDxfId="35">
      <calculatedColumnFormula>VLOOKUP(Table10[[#This Row],[PRODUCT]],Table12[],2,FALSE)</calculatedColumnFormula>
    </tableColumn>
    <tableColumn id="4" name="COMISSION RATE" dataDxfId="34">
      <calculatedColumnFormula>VLOOKUP(Table10[[#This Row],[UNIT SOLD]],CHOOSE(Table10[[#This Row],[TABLE]],Table14[],Table15[],Table16[]),2,TRUE)</calculatedColumnFormula>
    </tableColumn>
    <tableColumn id="5" name="COMISSION RATE 2" dataDxfId="33">
      <calculatedColumnFormula>VLOOKUP(Table10[[#This Row],[UNIT SOLD]],CHOOSE(Table10[[#This Row],[TABLE]],Table14[],Table15[],Table16[]),2,TRUE)</calculatedColumnFormula>
    </tableColumn>
  </tableColumns>
  <tableStyleInfo name="TableStyleLight8" showFirstColumn="0" showLastColumn="0" showRowStripes="1" showColumnStripes="0"/>
</table>
</file>

<file path=xl/tables/table15.xml><?xml version="1.0" encoding="utf-8"?>
<table xmlns="http://schemas.openxmlformats.org/spreadsheetml/2006/main" id="12" name="Table12" displayName="Table12" ref="A22:B25" totalsRowShown="0">
  <autoFilter ref="A22:B25"/>
  <tableColumns count="2">
    <tableColumn id="1" name="Column1"/>
    <tableColumn id="2" name="Column2"/>
  </tableColumns>
  <tableStyleInfo name="TableStyleLight8" showFirstColumn="0" showLastColumn="0" showRowStripes="1" showColumnStripes="0"/>
</table>
</file>

<file path=xl/tables/table16.xml><?xml version="1.0" encoding="utf-8"?>
<table xmlns="http://schemas.openxmlformats.org/spreadsheetml/2006/main" id="14" name="Table14" displayName="Table14" ref="I8:J13" totalsRowShown="0">
  <autoFilter ref="I8:J13"/>
  <tableColumns count="2">
    <tableColumn id="1" name="UNIT SOLD"/>
    <tableColumn id="2" name="COMISSION RATE"/>
  </tableColumns>
  <tableStyleInfo name="TableStyleLight8" showFirstColumn="0" showLastColumn="0" showRowStripes="1" showColumnStripes="0"/>
</table>
</file>

<file path=xl/tables/table17.xml><?xml version="1.0" encoding="utf-8"?>
<table xmlns="http://schemas.openxmlformats.org/spreadsheetml/2006/main" id="15" name="Table15" displayName="Table15" ref="L8:M13" totalsRowShown="0">
  <autoFilter ref="L8:M13"/>
  <tableColumns count="2">
    <tableColumn id="1" name="UNIT SOLD"/>
    <tableColumn id="2" name="COMISSION RATE"/>
  </tableColumns>
  <tableStyleInfo name="TableStyleLight8" showFirstColumn="0" showLastColumn="0" showRowStripes="1" showColumnStripes="0"/>
</table>
</file>

<file path=xl/tables/table18.xml><?xml version="1.0" encoding="utf-8"?>
<table xmlns="http://schemas.openxmlformats.org/spreadsheetml/2006/main" id="16" name="Table16" displayName="Table16" ref="O8:P13" totalsRowShown="0">
  <autoFilter ref="O8:P13"/>
  <tableColumns count="2">
    <tableColumn id="1" name="UNIT SOLD"/>
    <tableColumn id="2" name="COMISSION RATE"/>
  </tableColumns>
  <tableStyleInfo name="TableStyleLight8" showFirstColumn="0" showLastColumn="0" showRowStripes="1" showColumnStripes="0"/>
</table>
</file>

<file path=xl/tables/table19.xml><?xml version="1.0" encoding="utf-8"?>
<table xmlns="http://schemas.openxmlformats.org/spreadsheetml/2006/main" id="17" name="Table17" displayName="Table17" ref="A3:B12" totalsRowShown="0">
  <autoFilter ref="A3:B12"/>
  <tableColumns count="2">
    <tableColumn id="1" name="SCORE"/>
    <tableColumn id="2" name="REMARK"/>
  </tableColumns>
  <tableStyleInfo name="TableStyleLight8" showFirstColumn="0" showLastColumn="0" showRowStripes="1" showColumnStripes="0"/>
</table>
</file>

<file path=xl/tables/table20.xml><?xml version="1.0" encoding="utf-8"?>
<table xmlns="http://schemas.openxmlformats.org/spreadsheetml/2006/main" id="18" name="Table18" displayName="Table18" ref="D4:F23" totalsRowShown="0">
  <autoFilter ref="D4:F23"/>
  <tableColumns count="3">
    <tableColumn id="1" name="STUDENT"/>
    <tableColumn id="2" name="SCORE" dataDxfId="31"/>
    <tableColumn id="3" name="REMARK" dataDxfId="30">
      <calculatedColumnFormula>CHOOSE(Table18[[#This Row],[SCORE]],$B$4,$B$5,$B$6,$B$7,$B$8,$B$9,$B$10,$B$11,B$12)</calculatedColumnFormula>
    </tableColumn>
  </tableColumns>
  <tableStyleInfo name="TableStyleMedium8" showFirstColumn="0" showLastColumn="0" showRowStripes="1" showColumnStripes="0"/>
</table>
</file>

<file path=xl/tables/table21.xml><?xml version="1.0" encoding="utf-8"?>
<table xmlns="http://schemas.openxmlformats.org/spreadsheetml/2006/main" id="13" name="Table13" displayName="Table13" ref="A3:C20" totalsRowShown="0">
  <autoFilter ref="A3:C20"/>
  <tableColumns count="3">
    <tableColumn id="1" name="MONTH" dataDxfId="29"/>
    <tableColumn id="2" name="TARGET"/>
    <tableColumn id="3" name="SALES"/>
  </tableColumns>
  <tableStyleInfo name="TableStyleLight8" showFirstColumn="0" showLastColumn="0" showRowStripes="1" showColumnStripes="0"/>
</table>
</file>

<file path=xl/tables/table22.xml><?xml version="1.0" encoding="utf-8"?>
<table xmlns="http://schemas.openxmlformats.org/spreadsheetml/2006/main" id="19" name="Table19" displayName="Table19" ref="A3:B7" totalsRowShown="0">
  <autoFilter ref="A3:B7"/>
  <tableColumns count="2">
    <tableColumn id="1" name="CATEGORY"/>
    <tableColumn id="2" name="BASIC"/>
  </tableColumns>
  <tableStyleInfo name="TableStyleLight8" showFirstColumn="0" showLastColumn="0" showRowStripes="1" showColumnStripes="0"/>
</table>
</file>

<file path=xl/tables/table23.xml><?xml version="1.0" encoding="utf-8"?>
<table xmlns="http://schemas.openxmlformats.org/spreadsheetml/2006/main" id="20" name="Table20" displayName="Table20" ref="A9:L25" totalsRowShown="0">
  <autoFilter ref="A9:L25"/>
  <tableColumns count="12">
    <tableColumn id="1" name="NAME" dataDxfId="28"/>
    <tableColumn id="2" name="CATEGORY"/>
    <tableColumn id="3" name="HRA(Y/N)" dataDxfId="27"/>
    <tableColumn id="4" name="BASIC" dataDxfId="26">
      <calculatedColumnFormula>VLOOKUP(Table20[[#This Row],[CATEGORY]],Table19[#All],2,FALSE)</calculatedColumnFormula>
    </tableColumn>
    <tableColumn id="5" name="DA" dataDxfId="25">
      <calculatedColumnFormula>Table20[[#This Row],[BASIC]]*$E$4</calculatedColumnFormula>
    </tableColumn>
    <tableColumn id="6" name="TA" dataDxfId="24">
      <calculatedColumnFormula>Table20[[#This Row],[BASIC]]*$E$6</calculatedColumnFormula>
    </tableColumn>
    <tableColumn id="7" name="HRA" dataDxfId="23">
      <calculatedColumnFormula>Table20[[#This Row],[BASIC]]*$E$5</calculatedColumnFormula>
    </tableColumn>
    <tableColumn id="8" name="MED" dataDxfId="22">
      <calculatedColumnFormula>Table20[[#This Row],[BASIC]]*$E$7</calculatedColumnFormula>
    </tableColumn>
    <tableColumn id="9" name="GROSS" dataDxfId="21">
      <calculatedColumnFormula>(Table20[[#This Row],[BASIC]]+Table20[[#This Row],[DA]]+Table20[[#This Row],[HRA]]+Table20[[#This Row],[MED]])-Table20[[#This Row],[TA]]</calculatedColumnFormula>
    </tableColumn>
    <tableColumn id="10" name="IT" dataDxfId="20">
      <calculatedColumnFormula>Table20[[#This Row],[GROSS]]*$H$4</calculatedColumnFormula>
    </tableColumn>
    <tableColumn id="11" name="PF" dataDxfId="19">
      <calculatedColumnFormula>Table20[[#This Row],[GROSS]]*$H$5</calculatedColumnFormula>
    </tableColumn>
    <tableColumn id="12" name="NET" dataDxfId="18">
      <calculatedColumnFormula>Table20[[#This Row],[GROSS]]-Table20[[#This Row],[IT]]-Table20[[#This Row],[PF]]</calculatedColumnFormula>
    </tableColumn>
  </tableColumns>
  <tableStyleInfo name="TableStyleLight8" showFirstColumn="0" showLastColumn="0" showRowStripes="1" showColumnStripes="0"/>
</table>
</file>

<file path=xl/tables/table24.xml><?xml version="1.0" encoding="utf-8"?>
<table xmlns="http://schemas.openxmlformats.org/spreadsheetml/2006/main" id="21" name="Table21" displayName="Table21" ref="A3:E45" totalsRowShown="0">
  <autoFilter ref="A3:E45"/>
  <tableColumns count="5">
    <tableColumn id="1" name="SALES MAN" dataDxfId="17"/>
    <tableColumn id="2" name="ITEM" dataDxfId="16"/>
    <tableColumn id="3" name="RATE"/>
    <tableColumn id="4" name="SOLD ITEM" dataDxfId="15"/>
    <tableColumn id="5" name="TOTAL SALES (Rs)" dataDxfId="14">
      <calculatedColumnFormula>Table21[[#This Row],[RATE]]*Table21[[#This Row],[SOLD ITEM]]</calculatedColumnFormula>
    </tableColumn>
  </tableColumns>
  <tableStyleInfo name="TableStyleLight8" showFirstColumn="0" showLastColumn="0" showRowStripes="1" showColumnStripes="0"/>
</table>
</file>

<file path=xl/tables/table25.xml><?xml version="1.0" encoding="utf-8"?>
<table xmlns="http://schemas.openxmlformats.org/spreadsheetml/2006/main" id="22" name="Table22" displayName="Table22" ref="G5:I6" totalsRowShown="0">
  <autoFilter ref="G5:I6"/>
  <tableColumns count="3">
    <tableColumn id="1" name="TOTAL SALES OF COMPUTER">
      <calculatedColumnFormula>SUMIF(Table21[ITEM],B4,Table21[TOTAL SALES (Rs)])</calculatedColumnFormula>
    </tableColumn>
    <tableColumn id="2" name="TOTAL SALES OF OVEN">
      <calculatedColumnFormula>SUMIF(Table21[ITEM],B35,Table21[TOTAL SALES (Rs)])</calculatedColumnFormula>
    </tableColumn>
    <tableColumn id="3" name="TOTAL SALES OF VCR">
      <calculatedColumnFormula>SUMIF(Table21[ITEM],B37,Table21[TOTAL SALES (Rs)])</calculatedColumnFormula>
    </tableColumn>
  </tableColumns>
  <tableStyleInfo name="TableStyleLight8" showFirstColumn="0" showLastColumn="0" showRowStripes="1" showColumnStripes="0"/>
</table>
</file>

<file path=xl/tables/table26.xml><?xml version="1.0" encoding="utf-8"?>
<table xmlns="http://schemas.openxmlformats.org/spreadsheetml/2006/main" id="24" name="Table24" displayName="Table24" ref="G8:H33" totalsRowShown="0">
  <autoFilter ref="G8:H33"/>
  <tableColumns count="2">
    <tableColumn id="1" name="SALESMAN" dataDxfId="13"/>
    <tableColumn id="2" name="TOTAL SALES">
      <calculatedColumnFormula>SUMIF(Table21[SALES MAN],A13,Table21[TOTAL SALES (Rs)])</calculatedColumnFormula>
    </tableColumn>
  </tableColumns>
  <tableStyleInfo name="TableStyleLight8" showFirstColumn="0" showLastColumn="0" showRowStripes="1" showColumnStripes="0"/>
</table>
</file>

<file path=xl/tables/table27.xml><?xml version="1.0" encoding="utf-8"?>
<table xmlns="http://schemas.openxmlformats.org/spreadsheetml/2006/main" id="23" name="Table23" displayName="Table23" ref="A4:K26" totalsRowShown="0">
  <autoFilter ref="A4:K26"/>
  <tableColumns count="11">
    <tableColumn id="1" name="NAME" dataDxfId="5"/>
    <tableColumn id="2" name="CLASS" dataDxfId="4"/>
    <tableColumn id="3" name="HINDI"/>
    <tableColumn id="4" name="ENGLISH"/>
    <tableColumn id="5" name="MATHS"/>
    <tableColumn id="6" name="SCIENCE"/>
    <tableColumn id="7" name="S.S.T"/>
    <tableColumn id="8" name="TOTAL MARKS" dataDxfId="3">
      <calculatedColumnFormula>SUM(Table23[[#This Row],[HINDI]:[S.S.T]])</calculatedColumnFormula>
    </tableColumn>
    <tableColumn id="9" name="AVERAGE" dataDxfId="2">
      <calculatedColumnFormula>AVERAGE(Table23[[#This Row],[HINDI]:[S.S.T]])</calculatedColumnFormula>
    </tableColumn>
    <tableColumn id="10" name="GRADE" dataDxfId="1">
      <calculatedColumnFormula>IF(Table23[[#This Row],[AVERAGE]]&gt;70,"A",IF(Table23[[#This Row],[AVERAGE]]&gt;50,"B",IF(Table23[[#This Row],[AVERAGE]]&gt;33,"C",IF(Table23[[#This Row],[AVERAGE]]&lt;33,"FAIL"))))</calculatedColumnFormula>
    </tableColumn>
    <tableColumn id="11" name="RANK" dataDxfId="0">
      <calculatedColumnFormula>RANK(Table23[[#This Row],[AVERAGE]],Table23[AVERAGE])</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2.xml"/><Relationship Id="rId1" Type="http://schemas.openxmlformats.org/officeDocument/2006/relationships/drawing" Target="../drawings/drawing5.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5" Type="http://schemas.openxmlformats.org/officeDocument/2006/relationships/table" Target="../tables/table18.xml"/><Relationship Id="rId4" Type="http://schemas.openxmlformats.org/officeDocument/2006/relationships/table" Target="../tables/table17.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drawing" Target="../drawings/drawing6.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8.xml"/><Relationship Id="rId4" Type="http://schemas.openxmlformats.org/officeDocument/2006/relationships/table" Target="../tables/table26.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drawing" Target="../drawings/drawing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selection sqref="A1:H13"/>
    </sheetView>
  </sheetViews>
  <sheetFormatPr defaultColWidth="9" defaultRowHeight="14.5"/>
  <cols>
    <col min="1" max="1" width="14.453125" customWidth="1"/>
    <col min="8" max="8" width="12" customWidth="1"/>
  </cols>
  <sheetData>
    <row r="1" spans="1:8" ht="14.5" customHeight="1">
      <c r="A1" s="30" t="s">
        <v>456</v>
      </c>
      <c r="B1" s="30"/>
      <c r="C1" s="30"/>
      <c r="D1" s="30"/>
      <c r="E1" s="30"/>
      <c r="F1" s="30"/>
      <c r="G1" s="30"/>
      <c r="H1" s="30"/>
    </row>
    <row r="2" spans="1:8" ht="14.5" customHeight="1">
      <c r="A2" s="30"/>
      <c r="B2" s="30"/>
      <c r="C2" s="30"/>
      <c r="D2" s="30"/>
      <c r="E2" s="30"/>
      <c r="F2" s="30"/>
      <c r="G2" s="30"/>
      <c r="H2" s="30"/>
    </row>
    <row r="3" spans="1:8">
      <c r="A3" t="s">
        <v>0</v>
      </c>
      <c r="B3" t="s">
        <v>1</v>
      </c>
      <c r="C3" t="s">
        <v>2</v>
      </c>
      <c r="D3" t="s">
        <v>3</v>
      </c>
      <c r="E3" t="s">
        <v>4</v>
      </c>
      <c r="F3" t="s">
        <v>5</v>
      </c>
      <c r="G3" t="s">
        <v>6</v>
      </c>
      <c r="H3" t="s">
        <v>7</v>
      </c>
    </row>
    <row r="4" spans="1:8">
      <c r="A4" t="s">
        <v>8</v>
      </c>
      <c r="B4">
        <v>62</v>
      </c>
      <c r="C4">
        <v>76</v>
      </c>
      <c r="D4">
        <v>39</v>
      </c>
      <c r="E4">
        <v>34</v>
      </c>
      <c r="F4">
        <v>54</v>
      </c>
      <c r="G4">
        <f>SUM(B4:F4)</f>
        <v>265</v>
      </c>
      <c r="H4">
        <f>AVERAGE(B4:F4)</f>
        <v>53</v>
      </c>
    </row>
    <row r="5" spans="1:8">
      <c r="A5" t="s">
        <v>9</v>
      </c>
      <c r="B5">
        <v>90</v>
      </c>
      <c r="C5">
        <v>51</v>
      </c>
      <c r="D5">
        <v>90</v>
      </c>
      <c r="E5">
        <v>79</v>
      </c>
      <c r="F5">
        <v>95</v>
      </c>
      <c r="G5">
        <f t="shared" ref="G5:G13" si="0">SUM(B5:F5)</f>
        <v>405</v>
      </c>
      <c r="H5">
        <f t="shared" ref="H5:H13" si="1">AVERAGE(B5:F5)</f>
        <v>81</v>
      </c>
    </row>
    <row r="6" spans="1:8">
      <c r="A6" t="s">
        <v>10</v>
      </c>
      <c r="B6">
        <v>86</v>
      </c>
      <c r="C6">
        <v>55</v>
      </c>
      <c r="D6">
        <v>97</v>
      </c>
      <c r="E6">
        <v>88</v>
      </c>
      <c r="F6">
        <v>76</v>
      </c>
      <c r="G6">
        <f t="shared" si="0"/>
        <v>402</v>
      </c>
      <c r="H6">
        <f t="shared" si="1"/>
        <v>80.400000000000006</v>
      </c>
    </row>
    <row r="7" spans="1:8">
      <c r="A7" t="s">
        <v>11</v>
      </c>
      <c r="B7">
        <v>90</v>
      </c>
      <c r="C7">
        <v>53</v>
      </c>
      <c r="D7">
        <v>44</v>
      </c>
      <c r="E7">
        <v>90</v>
      </c>
      <c r="F7">
        <v>77</v>
      </c>
      <c r="G7">
        <f t="shared" si="0"/>
        <v>354</v>
      </c>
      <c r="H7">
        <f t="shared" si="1"/>
        <v>70.8</v>
      </c>
    </row>
    <row r="8" spans="1:8">
      <c r="A8" t="s">
        <v>12</v>
      </c>
      <c r="B8">
        <v>71</v>
      </c>
      <c r="C8">
        <v>92</v>
      </c>
      <c r="D8">
        <v>46</v>
      </c>
      <c r="E8">
        <v>53</v>
      </c>
      <c r="F8">
        <v>75</v>
      </c>
      <c r="G8">
        <f t="shared" si="0"/>
        <v>337</v>
      </c>
      <c r="H8">
        <f t="shared" si="1"/>
        <v>67.400000000000006</v>
      </c>
    </row>
    <row r="9" spans="1:8">
      <c r="A9" t="s">
        <v>13</v>
      </c>
      <c r="B9">
        <v>64</v>
      </c>
      <c r="C9">
        <v>99</v>
      </c>
      <c r="D9">
        <v>97</v>
      </c>
      <c r="E9">
        <v>99</v>
      </c>
      <c r="F9">
        <v>63</v>
      </c>
      <c r="G9">
        <f t="shared" si="0"/>
        <v>422</v>
      </c>
      <c r="H9">
        <f t="shared" si="1"/>
        <v>84.4</v>
      </c>
    </row>
    <row r="10" spans="1:8">
      <c r="A10" t="s">
        <v>14</v>
      </c>
      <c r="B10">
        <v>78</v>
      </c>
      <c r="C10">
        <v>69</v>
      </c>
      <c r="D10">
        <v>66</v>
      </c>
      <c r="E10">
        <v>71</v>
      </c>
      <c r="F10">
        <v>30</v>
      </c>
      <c r="G10">
        <f t="shared" si="0"/>
        <v>314</v>
      </c>
      <c r="H10">
        <f t="shared" si="1"/>
        <v>62.8</v>
      </c>
    </row>
    <row r="11" spans="1:8">
      <c r="A11" t="s">
        <v>15</v>
      </c>
      <c r="B11">
        <v>98</v>
      </c>
      <c r="C11">
        <v>72</v>
      </c>
      <c r="D11">
        <v>42</v>
      </c>
      <c r="E11">
        <v>51</v>
      </c>
      <c r="F11">
        <v>71</v>
      </c>
      <c r="G11">
        <f t="shared" si="0"/>
        <v>334</v>
      </c>
      <c r="H11">
        <f t="shared" si="1"/>
        <v>66.8</v>
      </c>
    </row>
    <row r="12" spans="1:8">
      <c r="A12" t="s">
        <v>16</v>
      </c>
      <c r="B12">
        <v>52</v>
      </c>
      <c r="C12">
        <v>64</v>
      </c>
      <c r="D12">
        <v>99</v>
      </c>
      <c r="E12">
        <v>82</v>
      </c>
      <c r="F12">
        <v>78</v>
      </c>
      <c r="G12">
        <f t="shared" si="0"/>
        <v>375</v>
      </c>
      <c r="H12">
        <f t="shared" si="1"/>
        <v>75</v>
      </c>
    </row>
    <row r="13" spans="1:8">
      <c r="A13" t="s">
        <v>17</v>
      </c>
      <c r="B13">
        <v>62</v>
      </c>
      <c r="C13">
        <v>73</v>
      </c>
      <c r="D13">
        <v>73</v>
      </c>
      <c r="E13">
        <v>88</v>
      </c>
      <c r="F13">
        <v>36</v>
      </c>
      <c r="G13">
        <f t="shared" si="0"/>
        <v>332</v>
      </c>
      <c r="H13">
        <f t="shared" si="1"/>
        <v>66.400000000000006</v>
      </c>
    </row>
  </sheetData>
  <mergeCells count="1">
    <mergeCell ref="A1:H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zoomScale="126" workbookViewId="0">
      <selection activeCell="F17" sqref="F17"/>
    </sheetView>
  </sheetViews>
  <sheetFormatPr defaultColWidth="9" defaultRowHeight="14.5"/>
  <cols>
    <col min="1" max="1" width="12.7265625" customWidth="1"/>
    <col min="11" max="11" width="9.36328125" customWidth="1"/>
  </cols>
  <sheetData>
    <row r="1" spans="1:11">
      <c r="A1" t="s">
        <v>18</v>
      </c>
      <c r="B1" t="s">
        <v>19</v>
      </c>
      <c r="C1" t="s">
        <v>20</v>
      </c>
      <c r="D1" t="s">
        <v>21</v>
      </c>
      <c r="E1" t="s">
        <v>22</v>
      </c>
      <c r="F1" t="s">
        <v>23</v>
      </c>
      <c r="G1" t="s">
        <v>24</v>
      </c>
      <c r="H1" t="s">
        <v>25</v>
      </c>
      <c r="I1" t="s">
        <v>6</v>
      </c>
      <c r="J1" t="s">
        <v>26</v>
      </c>
      <c r="K1" t="s">
        <v>27</v>
      </c>
    </row>
    <row r="2" spans="1:11">
      <c r="A2" t="s">
        <v>28</v>
      </c>
      <c r="B2">
        <v>129</v>
      </c>
      <c r="C2">
        <v>84</v>
      </c>
      <c r="D2">
        <v>145</v>
      </c>
      <c r="E2">
        <v>128</v>
      </c>
      <c r="F2">
        <v>93</v>
      </c>
      <c r="G2">
        <v>133</v>
      </c>
      <c r="H2">
        <v>137</v>
      </c>
      <c r="I2">
        <f>SUM(B2:H2)</f>
        <v>849</v>
      </c>
      <c r="J2">
        <v>13</v>
      </c>
      <c r="K2">
        <f>I2/J2</f>
        <v>65.307692307692307</v>
      </c>
    </row>
    <row r="3" spans="1:11">
      <c r="A3" t="s">
        <v>29</v>
      </c>
      <c r="B3">
        <v>134</v>
      </c>
      <c r="C3">
        <v>77</v>
      </c>
      <c r="D3">
        <v>140</v>
      </c>
      <c r="E3">
        <v>69</v>
      </c>
      <c r="F3">
        <v>134</v>
      </c>
      <c r="G3">
        <v>98</v>
      </c>
      <c r="H3">
        <v>97</v>
      </c>
      <c r="I3">
        <f t="shared" ref="I3:I11" si="0">SUM(B3:H3)</f>
        <v>749</v>
      </c>
      <c r="J3">
        <v>17</v>
      </c>
      <c r="K3">
        <f t="shared" ref="K3:K11" si="1">I3/J3</f>
        <v>44.058823529411768</v>
      </c>
    </row>
    <row r="4" spans="1:11">
      <c r="A4" t="s">
        <v>30</v>
      </c>
      <c r="B4">
        <v>58</v>
      </c>
      <c r="C4">
        <v>101</v>
      </c>
      <c r="D4">
        <v>61</v>
      </c>
      <c r="E4">
        <v>100</v>
      </c>
      <c r="F4">
        <v>95</v>
      </c>
      <c r="G4">
        <v>68</v>
      </c>
      <c r="H4">
        <v>125</v>
      </c>
      <c r="I4">
        <f t="shared" si="0"/>
        <v>608</v>
      </c>
      <c r="J4">
        <v>25</v>
      </c>
      <c r="K4">
        <f t="shared" si="1"/>
        <v>24.32</v>
      </c>
    </row>
    <row r="5" spans="1:11">
      <c r="A5" t="s">
        <v>31</v>
      </c>
      <c r="B5">
        <v>124</v>
      </c>
      <c r="C5">
        <v>50</v>
      </c>
      <c r="D5">
        <v>51</v>
      </c>
      <c r="E5">
        <v>71</v>
      </c>
      <c r="F5">
        <v>142</v>
      </c>
      <c r="G5">
        <v>140</v>
      </c>
      <c r="H5">
        <v>93</v>
      </c>
      <c r="I5">
        <f t="shared" si="0"/>
        <v>671</v>
      </c>
      <c r="J5">
        <v>15</v>
      </c>
      <c r="K5">
        <f t="shared" si="1"/>
        <v>44.733333333333334</v>
      </c>
    </row>
    <row r="6" spans="1:11">
      <c r="A6" t="s">
        <v>32</v>
      </c>
      <c r="B6">
        <v>79</v>
      </c>
      <c r="C6">
        <v>79</v>
      </c>
      <c r="D6">
        <v>70</v>
      </c>
      <c r="E6">
        <v>97</v>
      </c>
      <c r="F6">
        <v>90</v>
      </c>
      <c r="G6">
        <v>94</v>
      </c>
      <c r="H6">
        <v>69</v>
      </c>
      <c r="I6">
        <f t="shared" si="0"/>
        <v>578</v>
      </c>
      <c r="J6">
        <v>14</v>
      </c>
      <c r="K6">
        <f t="shared" si="1"/>
        <v>41.285714285714285</v>
      </c>
    </row>
    <row r="7" spans="1:11">
      <c r="A7" t="s">
        <v>33</v>
      </c>
      <c r="B7">
        <v>119</v>
      </c>
      <c r="C7">
        <v>52</v>
      </c>
      <c r="D7">
        <v>103</v>
      </c>
      <c r="E7">
        <v>90</v>
      </c>
      <c r="F7">
        <v>145</v>
      </c>
      <c r="G7">
        <v>62</v>
      </c>
      <c r="H7">
        <v>109</v>
      </c>
      <c r="I7">
        <f t="shared" si="0"/>
        <v>680</v>
      </c>
      <c r="J7">
        <v>26</v>
      </c>
      <c r="K7">
        <f t="shared" si="1"/>
        <v>26.153846153846153</v>
      </c>
    </row>
    <row r="8" spans="1:11">
      <c r="A8" t="s">
        <v>34</v>
      </c>
      <c r="B8">
        <v>66</v>
      </c>
      <c r="C8">
        <v>58</v>
      </c>
      <c r="D8">
        <v>101</v>
      </c>
      <c r="E8">
        <v>80</v>
      </c>
      <c r="F8">
        <v>68</v>
      </c>
      <c r="G8">
        <v>107</v>
      </c>
      <c r="H8">
        <v>54</v>
      </c>
      <c r="I8">
        <f t="shared" si="0"/>
        <v>534</v>
      </c>
      <c r="J8">
        <v>18</v>
      </c>
      <c r="K8">
        <f t="shared" si="1"/>
        <v>29.666666666666668</v>
      </c>
    </row>
    <row r="9" spans="1:11">
      <c r="A9" t="s">
        <v>35</v>
      </c>
      <c r="B9">
        <v>101</v>
      </c>
      <c r="C9">
        <v>137</v>
      </c>
      <c r="D9">
        <v>146</v>
      </c>
      <c r="E9">
        <v>118</v>
      </c>
      <c r="F9">
        <v>135</v>
      </c>
      <c r="G9">
        <v>132</v>
      </c>
      <c r="H9">
        <v>77</v>
      </c>
      <c r="I9">
        <f t="shared" si="0"/>
        <v>846</v>
      </c>
      <c r="J9">
        <v>16</v>
      </c>
      <c r="K9">
        <f t="shared" si="1"/>
        <v>52.875</v>
      </c>
    </row>
    <row r="10" spans="1:11">
      <c r="A10" t="s">
        <v>36</v>
      </c>
      <c r="B10">
        <v>146</v>
      </c>
      <c r="C10">
        <v>120</v>
      </c>
      <c r="D10">
        <v>92</v>
      </c>
      <c r="E10">
        <v>143</v>
      </c>
      <c r="F10">
        <v>72</v>
      </c>
      <c r="G10">
        <v>91</v>
      </c>
      <c r="H10">
        <v>123</v>
      </c>
      <c r="I10">
        <f t="shared" si="0"/>
        <v>787</v>
      </c>
      <c r="J10">
        <v>31</v>
      </c>
      <c r="K10">
        <f t="shared" si="1"/>
        <v>25.387096774193548</v>
      </c>
    </row>
    <row r="11" spans="1:11">
      <c r="A11" t="s">
        <v>37</v>
      </c>
      <c r="B11">
        <v>101</v>
      </c>
      <c r="C11">
        <v>144</v>
      </c>
      <c r="D11">
        <v>129</v>
      </c>
      <c r="E11">
        <v>78</v>
      </c>
      <c r="F11">
        <v>50</v>
      </c>
      <c r="G11">
        <v>79</v>
      </c>
      <c r="H11">
        <v>137</v>
      </c>
      <c r="I11">
        <f t="shared" si="0"/>
        <v>718</v>
      </c>
      <c r="J11">
        <v>33</v>
      </c>
      <c r="K11">
        <f t="shared" si="1"/>
        <v>21.757575757575758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0"/>
  <sheetViews>
    <sheetView topLeftCell="B1" workbookViewId="0">
      <selection activeCell="K12" sqref="K12"/>
    </sheetView>
  </sheetViews>
  <sheetFormatPr defaultColWidth="9" defaultRowHeight="14.5"/>
  <cols>
    <col min="1" max="1" width="15.1796875" customWidth="1"/>
    <col min="3" max="3" width="13.36328125" customWidth="1"/>
    <col min="5" max="5" width="11" customWidth="1"/>
    <col min="8" max="8" width="9.54296875" customWidth="1"/>
    <col min="12" max="12" width="11.36328125" customWidth="1"/>
  </cols>
  <sheetData>
    <row r="1" spans="1:12">
      <c r="A1" t="s">
        <v>38</v>
      </c>
      <c r="B1" t="s">
        <v>1</v>
      </c>
      <c r="C1" t="s">
        <v>39</v>
      </c>
      <c r="D1" t="s">
        <v>40</v>
      </c>
      <c r="E1" t="s">
        <v>41</v>
      </c>
      <c r="F1" t="s">
        <v>42</v>
      </c>
      <c r="G1" t="s">
        <v>6</v>
      </c>
      <c r="H1" t="s">
        <v>43</v>
      </c>
      <c r="I1" t="s">
        <v>44</v>
      </c>
      <c r="J1" t="s">
        <v>45</v>
      </c>
      <c r="K1" t="s">
        <v>46</v>
      </c>
      <c r="L1" t="s">
        <v>47</v>
      </c>
    </row>
    <row r="2" spans="1:12">
      <c r="A2" t="s">
        <v>48</v>
      </c>
      <c r="B2">
        <v>48</v>
      </c>
      <c r="C2">
        <v>62</v>
      </c>
      <c r="D2">
        <v>86</v>
      </c>
      <c r="E2">
        <v>96</v>
      </c>
      <c r="F2">
        <v>64</v>
      </c>
      <c r="G2">
        <f>SUM(Table1[[#This Row],[English]:[IP]])</f>
        <v>356</v>
      </c>
      <c r="H2">
        <f>AVERAGE(Table1[[#This Row],[English]:[IP]])</f>
        <v>71.2</v>
      </c>
      <c r="I2">
        <f>MAX(Table1[[#This Row],[English]:[IP]])</f>
        <v>96</v>
      </c>
      <c r="J2">
        <f>MIN(Table1[[#This Row],[English]:[IP]])</f>
        <v>48</v>
      </c>
      <c r="K2">
        <f>COUNT(Table1[[#This Row],[English]:[IP]])</f>
        <v>5</v>
      </c>
      <c r="L2" t="str">
        <f>IF(Table1[[#This Row],[Average]]&gt;75,"A",IF(Table1[[#This Row],[Average]]&gt;60,"B",IF(Table1[[#This Row],[Average]]&gt;50,"C","WORK HARD")))</f>
        <v>B</v>
      </c>
    </row>
    <row r="3" spans="1:12">
      <c r="A3" t="s">
        <v>49</v>
      </c>
      <c r="B3">
        <v>74</v>
      </c>
      <c r="C3">
        <v>59</v>
      </c>
      <c r="D3">
        <v>64</v>
      </c>
      <c r="E3">
        <v>48</v>
      </c>
      <c r="F3">
        <v>39</v>
      </c>
      <c r="G3">
        <f>SUM(Table1[[#This Row],[English]:[IP]])</f>
        <v>284</v>
      </c>
      <c r="H3">
        <f>AVERAGE(Table1[[#This Row],[English]:[IP]])</f>
        <v>56.8</v>
      </c>
      <c r="I3">
        <f>MAX(Table1[[#This Row],[English]:[IP]])</f>
        <v>74</v>
      </c>
      <c r="J3">
        <f>MIN(Table1[[#This Row],[English]:[IP]])</f>
        <v>39</v>
      </c>
      <c r="K3">
        <f>COUNT(Table1[[#This Row],[English]:[IP]])</f>
        <v>5</v>
      </c>
      <c r="L3" t="str">
        <f>IF(Table1[[#This Row],[Average]]&gt;75,"A",IF(Table1[[#This Row],[Average]]&gt;60,"B",IF(Table1[[#This Row],[Average]]&gt;50,"C","WORK HARD")))</f>
        <v>C</v>
      </c>
    </row>
    <row r="4" spans="1:12">
      <c r="A4" t="s">
        <v>50</v>
      </c>
      <c r="B4">
        <v>72</v>
      </c>
      <c r="C4">
        <v>87</v>
      </c>
      <c r="D4">
        <v>60</v>
      </c>
      <c r="E4">
        <v>92</v>
      </c>
      <c r="F4">
        <v>74</v>
      </c>
      <c r="G4">
        <f>SUM(Table1[[#This Row],[English]:[IP]])</f>
        <v>385</v>
      </c>
      <c r="H4">
        <f>AVERAGE(Table1[[#This Row],[English]:[IP]])</f>
        <v>77</v>
      </c>
      <c r="I4">
        <f>MAX(Table1[[#This Row],[English]:[IP]])</f>
        <v>92</v>
      </c>
      <c r="J4">
        <f>MIN(Table1[[#This Row],[English]:[IP]])</f>
        <v>60</v>
      </c>
      <c r="K4">
        <f>COUNT(Table1[[#This Row],[English]:[IP]])</f>
        <v>5</v>
      </c>
      <c r="L4" t="str">
        <f>IF(Table1[[#This Row],[Average]]&gt;75,"A",IF(Table1[[#This Row],[Average]]&gt;60,"B",IF(Table1[[#This Row],[Average]]&gt;50,"C","WORK HARD")))</f>
        <v>A</v>
      </c>
    </row>
    <row r="5" spans="1:12">
      <c r="A5" t="s">
        <v>11</v>
      </c>
      <c r="B5">
        <v>58</v>
      </c>
      <c r="C5">
        <v>90</v>
      </c>
      <c r="D5">
        <v>95</v>
      </c>
      <c r="E5">
        <v>51</v>
      </c>
      <c r="F5">
        <v>82</v>
      </c>
      <c r="G5">
        <f>SUM(Table1[[#This Row],[English]:[IP]])</f>
        <v>376</v>
      </c>
      <c r="H5">
        <f>AVERAGE(Table1[[#This Row],[English]:[IP]])</f>
        <v>75.2</v>
      </c>
      <c r="I5">
        <f>MAX(Table1[[#This Row],[English]:[IP]])</f>
        <v>95</v>
      </c>
      <c r="J5">
        <f>MIN(Table1[[#This Row],[English]:[IP]])</f>
        <v>51</v>
      </c>
      <c r="K5">
        <f>COUNT(Table1[[#This Row],[English]:[IP]])</f>
        <v>5</v>
      </c>
      <c r="L5" t="str">
        <f>IF(Table1[[#This Row],[Average]]&gt;75,"A",IF(Table1[[#This Row],[Average]]&gt;60,"B",IF(Table1[[#This Row],[Average]]&gt;50,"C","WORK HARD")))</f>
        <v>A</v>
      </c>
    </row>
    <row r="6" spans="1:12">
      <c r="A6" t="s">
        <v>51</v>
      </c>
      <c r="B6">
        <v>75</v>
      </c>
      <c r="C6">
        <v>79</v>
      </c>
      <c r="D6">
        <v>68</v>
      </c>
      <c r="E6">
        <v>80</v>
      </c>
      <c r="F6">
        <v>58</v>
      </c>
      <c r="G6">
        <f>SUM(Table1[[#This Row],[English]:[IP]])</f>
        <v>360</v>
      </c>
      <c r="H6">
        <f>AVERAGE(Table1[[#This Row],[English]:[IP]])</f>
        <v>72</v>
      </c>
      <c r="I6">
        <f>MAX(Table1[[#This Row],[English]:[IP]])</f>
        <v>80</v>
      </c>
      <c r="J6">
        <f>MIN(Table1[[#This Row],[English]:[IP]])</f>
        <v>58</v>
      </c>
      <c r="K6">
        <f>COUNT(Table1[[#This Row],[English]:[IP]])</f>
        <v>5</v>
      </c>
      <c r="L6" t="str">
        <f>IF(Table1[[#This Row],[Average]]&gt;75,"A",IF(Table1[[#This Row],[Average]]&gt;60,"B",IF(Table1[[#This Row],[Average]]&gt;50,"C","WORK HARD")))</f>
        <v>B</v>
      </c>
    </row>
    <row r="7" spans="1:12">
      <c r="A7" t="s">
        <v>52</v>
      </c>
      <c r="B7">
        <v>25</v>
      </c>
      <c r="C7">
        <v>35</v>
      </c>
      <c r="D7">
        <v>30</v>
      </c>
      <c r="E7">
        <v>44</v>
      </c>
      <c r="F7">
        <v>21</v>
      </c>
      <c r="G7">
        <f>SUM(Table1[[#This Row],[English]:[IP]])</f>
        <v>155</v>
      </c>
      <c r="H7">
        <f>AVERAGE(Table1[[#This Row],[English]:[IP]])</f>
        <v>31</v>
      </c>
      <c r="I7">
        <f>MAX(Table1[[#This Row],[English]:[IP]])</f>
        <v>44</v>
      </c>
      <c r="J7">
        <f>MIN(Table1[[#This Row],[English]:[IP]])</f>
        <v>21</v>
      </c>
      <c r="K7">
        <f>COUNT(Table1[[#This Row],[English]:[IP]])</f>
        <v>5</v>
      </c>
      <c r="L7" t="str">
        <f>IF(Table1[[#This Row],[Average]]&gt;75,"A",IF(Table1[[#This Row],[Average]]&gt;60,"B",IF(Table1[[#This Row],[Average]]&gt;50,"C","WORK HARD")))</f>
        <v>WORK HARD</v>
      </c>
    </row>
    <row r="19" spans="11:21">
      <c r="K19" s="31" t="s">
        <v>458</v>
      </c>
      <c r="L19" s="32"/>
      <c r="M19" s="32"/>
      <c r="N19" s="32"/>
      <c r="O19" s="32"/>
      <c r="P19" s="32"/>
      <c r="Q19" s="32"/>
      <c r="R19" s="32"/>
      <c r="S19" s="32"/>
      <c r="T19" s="32"/>
      <c r="U19" s="32"/>
    </row>
    <row r="20" spans="11:21">
      <c r="K20" s="32"/>
      <c r="L20" s="32"/>
      <c r="M20" s="32"/>
      <c r="N20" s="32"/>
      <c r="O20" s="32"/>
      <c r="P20" s="32"/>
      <c r="Q20" s="32"/>
      <c r="R20" s="32"/>
      <c r="S20" s="32"/>
      <c r="T20" s="32"/>
      <c r="U20" s="32"/>
    </row>
  </sheetData>
  <mergeCells count="1">
    <mergeCell ref="K19:U20"/>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zoomScale="105" workbookViewId="0">
      <selection sqref="A1:B6"/>
    </sheetView>
  </sheetViews>
  <sheetFormatPr defaultColWidth="9" defaultRowHeight="14.5"/>
  <cols>
    <col min="2" max="2" width="20.1796875" customWidth="1"/>
  </cols>
  <sheetData>
    <row r="1" spans="1:5">
      <c r="A1" t="s">
        <v>53</v>
      </c>
      <c r="B1" t="s">
        <v>54</v>
      </c>
    </row>
    <row r="2" spans="1:5">
      <c r="A2">
        <v>1995</v>
      </c>
      <c r="B2" s="1">
        <v>0.45</v>
      </c>
    </row>
    <row r="3" spans="1:5">
      <c r="A3">
        <v>1996</v>
      </c>
      <c r="B3" s="1">
        <v>0.69</v>
      </c>
    </row>
    <row r="4" spans="1:5">
      <c r="A4">
        <v>1997</v>
      </c>
      <c r="B4" s="1">
        <v>0.71</v>
      </c>
      <c r="E4" s="1"/>
    </row>
    <row r="5" spans="1:5">
      <c r="A5">
        <v>1998</v>
      </c>
      <c r="B5" s="1">
        <v>0.89</v>
      </c>
      <c r="E5" s="1"/>
    </row>
    <row r="6" spans="1:5">
      <c r="A6">
        <v>1999</v>
      </c>
      <c r="B6" s="1">
        <v>1</v>
      </c>
      <c r="E6" s="1"/>
    </row>
    <row r="7" spans="1:5">
      <c r="E7" s="1"/>
    </row>
    <row r="8" spans="1:5">
      <c r="E8" s="1"/>
    </row>
  </sheetData>
  <phoneticPr fontId="21" type="noConversion"/>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selection activeCell="L8" sqref="L8"/>
    </sheetView>
  </sheetViews>
  <sheetFormatPr defaultColWidth="9" defaultRowHeight="14.5"/>
  <cols>
    <col min="2" max="2" width="10.26953125" customWidth="1"/>
    <col min="7" max="7" width="9.54296875" customWidth="1"/>
  </cols>
  <sheetData>
    <row r="1" spans="1:8">
      <c r="A1" t="s">
        <v>55</v>
      </c>
      <c r="B1" t="s">
        <v>56</v>
      </c>
      <c r="C1" t="s">
        <v>1</v>
      </c>
      <c r="D1" t="s">
        <v>2</v>
      </c>
      <c r="E1" t="s">
        <v>5</v>
      </c>
      <c r="F1" t="s">
        <v>6</v>
      </c>
      <c r="G1" t="s">
        <v>43</v>
      </c>
      <c r="H1" t="s">
        <v>57</v>
      </c>
    </row>
    <row r="2" spans="1:8">
      <c r="A2" t="s">
        <v>58</v>
      </c>
      <c r="B2" t="s">
        <v>59</v>
      </c>
      <c r="C2">
        <v>89</v>
      </c>
      <c r="D2">
        <v>63</v>
      </c>
      <c r="E2">
        <v>97</v>
      </c>
      <c r="F2">
        <f>SUM(Table2[[#This Row],[English]:[Maths]])</f>
        <v>249</v>
      </c>
      <c r="G2">
        <f>AVERAGE(Table2[[#This Row],[English]:[Maths]])</f>
        <v>83</v>
      </c>
      <c r="H2" s="23" t="str">
        <f>IF(Table2[[#This Row],[Average]]&gt;90,"A",IF(Table2[[#This Row],[Average]]&gt;80,"B",IF(Table2[[#This Row],[Average]]&gt;70,"C",IF(Table2[[#This Row],[Average]]&gt;60,"D",IF(Table2[[#This Row],[Average]]&gt;50,"E",IF(Table2[[#This Row],[Average]]&lt;0,"F","WORK HARD"))))))</f>
        <v>B</v>
      </c>
    </row>
    <row r="3" spans="1:8">
      <c r="A3" t="s">
        <v>60</v>
      </c>
      <c r="B3" t="s">
        <v>61</v>
      </c>
      <c r="C3">
        <v>84</v>
      </c>
      <c r="D3">
        <v>76</v>
      </c>
      <c r="E3">
        <v>98</v>
      </c>
      <c r="F3">
        <f>SUM(Table2[[#This Row],[English]:[Maths]])</f>
        <v>258</v>
      </c>
      <c r="G3">
        <f>AVERAGE(Table2[[#This Row],[English]:[Maths]])</f>
        <v>86</v>
      </c>
      <c r="H3" s="23" t="str">
        <f>IF(Table2[[#This Row],[Average]]&gt;90,"A",IF(Table2[[#This Row],[Average]]&gt;80,"B",IF(Table2[[#This Row],[Average]]&gt;70,"C",IF(Table2[[#This Row],[Average]]&gt;60,"D",IF(Table2[[#This Row],[Average]]&gt;50,"E",IF(Table2[[#This Row],[Average]]&lt;0,"F","WORK HARD"))))))</f>
        <v>B</v>
      </c>
    </row>
    <row r="4" spans="1:8">
      <c r="A4" t="s">
        <v>62</v>
      </c>
      <c r="B4" t="s">
        <v>63</v>
      </c>
      <c r="C4">
        <v>83</v>
      </c>
      <c r="D4">
        <v>62</v>
      </c>
      <c r="E4">
        <v>88</v>
      </c>
      <c r="F4">
        <f>SUM(Table2[[#This Row],[English]:[Maths]])</f>
        <v>233</v>
      </c>
      <c r="G4">
        <f>AVERAGE(Table2[[#This Row],[English]:[Maths]])</f>
        <v>77.6666666666667</v>
      </c>
      <c r="H4" s="23" t="str">
        <f>IF(Table2[[#This Row],[Average]]&gt;90,"A",IF(Table2[[#This Row],[Average]]&gt;80,"B",IF(Table2[[#This Row],[Average]]&gt;70,"C",IF(Table2[[#This Row],[Average]]&gt;60,"D",IF(Table2[[#This Row],[Average]]&gt;50,"E",IF(Table2[[#This Row],[Average]]&lt;0,"F","WORK HARD"))))))</f>
        <v>C</v>
      </c>
    </row>
    <row r="5" spans="1:8">
      <c r="A5" t="s">
        <v>64</v>
      </c>
      <c r="B5" t="s">
        <v>65</v>
      </c>
      <c r="C5">
        <v>50</v>
      </c>
      <c r="D5">
        <v>59</v>
      </c>
      <c r="E5">
        <v>82</v>
      </c>
      <c r="F5">
        <f>SUM(Table2[[#This Row],[English]:[Maths]])</f>
        <v>191</v>
      </c>
      <c r="G5">
        <f>AVERAGE(Table2[[#This Row],[English]:[Maths]])</f>
        <v>63.6666666666667</v>
      </c>
      <c r="H5" s="23" t="str">
        <f>IF(Table2[[#This Row],[Average]]&gt;90,"A",IF(Table2[[#This Row],[Average]]&gt;80,"B",IF(Table2[[#This Row],[Average]]&gt;70,"C",IF(Table2[[#This Row],[Average]]&gt;60,"D",IF(Table2[[#This Row],[Average]]&gt;50,"E",IF(Table2[[#This Row],[Average]]&lt;0,"F","WORK HARD"))))))</f>
        <v>D</v>
      </c>
    </row>
    <row r="6" spans="1:8">
      <c r="A6" t="s">
        <v>66</v>
      </c>
      <c r="B6" t="s">
        <v>67</v>
      </c>
      <c r="C6">
        <v>45</v>
      </c>
      <c r="D6">
        <v>83</v>
      </c>
      <c r="E6">
        <v>42</v>
      </c>
      <c r="F6">
        <f>SUM(Table2[[#This Row],[English]:[Maths]])</f>
        <v>170</v>
      </c>
      <c r="G6">
        <f>AVERAGE(Table2[[#This Row],[English]:[Maths]])</f>
        <v>56.6666666666667</v>
      </c>
      <c r="H6" s="23" t="str">
        <f>IF(Table2[[#This Row],[Average]]&gt;90,"A",IF(Table2[[#This Row],[Average]]&gt;80,"B",IF(Table2[[#This Row],[Average]]&gt;70,"C",IF(Table2[[#This Row],[Average]]&gt;60,"D",IF(Table2[[#This Row],[Average]]&gt;50,"E",IF(Table2[[#This Row],[Average]]&lt;0,"F","WORK HARD"))))))</f>
        <v>E</v>
      </c>
    </row>
    <row r="7" spans="1:8">
      <c r="A7" t="s">
        <v>68</v>
      </c>
      <c r="B7" t="s">
        <v>69</v>
      </c>
      <c r="C7">
        <v>99</v>
      </c>
      <c r="D7">
        <v>38</v>
      </c>
      <c r="E7">
        <v>56</v>
      </c>
      <c r="F7">
        <f>SUM(Table2[[#This Row],[English]:[Maths]])</f>
        <v>193</v>
      </c>
      <c r="G7">
        <f>AVERAGE(Table2[[#This Row],[English]:[Maths]])</f>
        <v>64.3333333333333</v>
      </c>
      <c r="H7" s="23" t="str">
        <f>IF(Table2[[#This Row],[Average]]&gt;90,"A",IF(Table2[[#This Row],[Average]]&gt;80,"B",IF(Table2[[#This Row],[Average]]&gt;70,"C",IF(Table2[[#This Row],[Average]]&gt;60,"D",IF(Table2[[#This Row],[Average]]&gt;50,"E",IF(Table2[[#This Row],[Average]]&lt;0,"F","WORK HARD"))))))</f>
        <v>D</v>
      </c>
    </row>
    <row r="8" spans="1:8">
      <c r="A8" t="s">
        <v>70</v>
      </c>
      <c r="B8" t="s">
        <v>71</v>
      </c>
      <c r="C8">
        <v>50</v>
      </c>
      <c r="D8">
        <v>60</v>
      </c>
      <c r="E8">
        <v>48</v>
      </c>
      <c r="F8">
        <f>SUM(Table2[[#This Row],[English]:[Maths]])</f>
        <v>158</v>
      </c>
      <c r="G8">
        <f>AVERAGE(Table2[[#This Row],[English]:[Maths]])</f>
        <v>52.6666666666667</v>
      </c>
      <c r="H8" s="23" t="str">
        <f>IF(Table2[[#This Row],[Average]]&gt;90,"A",IF(Table2[[#This Row],[Average]]&gt;80,"B",IF(Table2[[#This Row],[Average]]&gt;70,"C",IF(Table2[[#This Row],[Average]]&gt;60,"D",IF(Table2[[#This Row],[Average]]&gt;50,"E",IF(Table2[[#This Row],[Average]]&lt;0,"F","WORK HARD"))))))</f>
        <v>E</v>
      </c>
    </row>
    <row r="9" spans="1:8">
      <c r="A9" t="s">
        <v>50</v>
      </c>
      <c r="B9" t="s">
        <v>72</v>
      </c>
      <c r="C9">
        <v>100</v>
      </c>
      <c r="D9">
        <v>41</v>
      </c>
      <c r="E9">
        <v>69</v>
      </c>
      <c r="F9">
        <f>SUM(Table2[[#This Row],[English]:[Maths]])</f>
        <v>210</v>
      </c>
      <c r="G9">
        <f>AVERAGE(Table2[[#This Row],[English]:[Maths]])</f>
        <v>70</v>
      </c>
      <c r="H9" s="23" t="str">
        <f>IF(Table2[[#This Row],[Average]]&gt;90,"A",IF(Table2[[#This Row],[Average]]&gt;80,"B",IF(Table2[[#This Row],[Average]]&gt;70,"C",IF(Table2[[#This Row],[Average]]&gt;60,"D",IF(Table2[[#This Row],[Average]]&gt;50,"E",IF(Table2[[#This Row],[Average]]&lt;0,"F","WORK HARD"))))))</f>
        <v>D</v>
      </c>
    </row>
    <row r="10" spans="1:8">
      <c r="A10" t="s">
        <v>73</v>
      </c>
      <c r="B10" t="s">
        <v>74</v>
      </c>
      <c r="C10">
        <v>56</v>
      </c>
      <c r="D10">
        <v>96</v>
      </c>
      <c r="E10">
        <v>73</v>
      </c>
      <c r="F10">
        <f>SUM(Table2[[#This Row],[English]:[Maths]])</f>
        <v>225</v>
      </c>
      <c r="G10">
        <f>AVERAGE(Table2[[#This Row],[English]:[Maths]])</f>
        <v>75</v>
      </c>
      <c r="H10" s="23" t="str">
        <f>IF(Table2[[#This Row],[Average]]&gt;90,"A",IF(Table2[[#This Row],[Average]]&gt;80,"B",IF(Table2[[#This Row],[Average]]&gt;70,"C",IF(Table2[[#This Row],[Average]]&gt;60,"D",IF(Table2[[#This Row],[Average]]&gt;50,"E",IF(Table2[[#This Row],[Average]]&lt;0,"F","WORK HARD"))))))</f>
        <v>C</v>
      </c>
    </row>
    <row r="11" spans="1:8">
      <c r="A11" t="s">
        <v>75</v>
      </c>
      <c r="B11" t="s">
        <v>76</v>
      </c>
      <c r="C11">
        <v>97</v>
      </c>
      <c r="D11">
        <v>76</v>
      </c>
      <c r="E11">
        <v>96</v>
      </c>
      <c r="F11">
        <f>SUM(Table2[[#This Row],[English]:[Maths]])</f>
        <v>269</v>
      </c>
      <c r="G11">
        <f>AVERAGE(Table2[[#This Row],[English]:[Maths]])</f>
        <v>89.6666666666667</v>
      </c>
      <c r="H11" s="23" t="str">
        <f>IF(Table2[[#This Row],[Average]]&gt;90,"A",IF(Table2[[#This Row],[Average]]&gt;80,"B",IF(Table2[[#This Row],[Average]]&gt;70,"C",IF(Table2[[#This Row],[Average]]&gt;60,"D",IF(Table2[[#This Row],[Average]]&gt;50,"E",IF(Table2[[#This Row],[Average]]&lt;0,"F","WORK HARD"))))))</f>
        <v>B</v>
      </c>
    </row>
    <row r="12" spans="1:8">
      <c r="A12" t="s">
        <v>77</v>
      </c>
      <c r="B12" t="s">
        <v>78</v>
      </c>
      <c r="C12">
        <v>65</v>
      </c>
      <c r="D12">
        <v>41</v>
      </c>
      <c r="E12">
        <v>60</v>
      </c>
      <c r="F12">
        <f>SUM(Table2[[#This Row],[English]:[Maths]])</f>
        <v>166</v>
      </c>
      <c r="G12">
        <f>AVERAGE(Table2[[#This Row],[English]:[Maths]])</f>
        <v>55.3333333333333</v>
      </c>
      <c r="H12" s="23" t="str">
        <f>IF(Table2[[#This Row],[Average]]&gt;90,"A",IF(Table2[[#This Row],[Average]]&gt;80,"B",IF(Table2[[#This Row],[Average]]&gt;70,"C",IF(Table2[[#This Row],[Average]]&gt;60,"D",IF(Table2[[#This Row],[Average]]&gt;50,"E",IF(Table2[[#This Row],[Average]]&lt;0,"F","WORK HARD"))))))</f>
        <v>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Views>
    <sheetView workbookViewId="0">
      <selection activeCell="E1" sqref="E1:F4"/>
    </sheetView>
  </sheetViews>
  <sheetFormatPr defaultColWidth="9" defaultRowHeight="14.5"/>
  <sheetData>
    <row r="1" spans="1:6" ht="15.5">
      <c r="A1" s="33" t="s">
        <v>79</v>
      </c>
      <c r="B1" s="34"/>
      <c r="C1" s="34"/>
      <c r="E1" s="33" t="s">
        <v>80</v>
      </c>
      <c r="F1" s="34"/>
    </row>
    <row r="2" spans="1:6">
      <c r="A2" s="4" t="s">
        <v>81</v>
      </c>
      <c r="B2" s="25">
        <v>0</v>
      </c>
      <c r="E2" s="4" t="s">
        <v>82</v>
      </c>
      <c r="F2" s="25">
        <v>70</v>
      </c>
    </row>
    <row r="3" spans="1:6">
      <c r="A3" s="4" t="s">
        <v>83</v>
      </c>
      <c r="B3" s="25">
        <v>40</v>
      </c>
      <c r="E3" s="4" t="s">
        <v>84</v>
      </c>
      <c r="F3" s="25">
        <v>4</v>
      </c>
    </row>
    <row r="4" spans="1:6">
      <c r="A4" s="4" t="s">
        <v>85</v>
      </c>
      <c r="B4" s="25">
        <v>60</v>
      </c>
      <c r="E4" s="4" t="s">
        <v>86</v>
      </c>
      <c r="F4" s="25">
        <v>150</v>
      </c>
    </row>
    <row r="5" spans="1:6">
      <c r="A5" s="4" t="s">
        <v>87</v>
      </c>
      <c r="B5" s="25">
        <v>90</v>
      </c>
    </row>
    <row r="6" spans="1:6">
      <c r="A6" s="4" t="s">
        <v>86</v>
      </c>
      <c r="B6" s="25">
        <v>185</v>
      </c>
    </row>
  </sheetData>
  <mergeCells count="2">
    <mergeCell ref="A1:C1"/>
    <mergeCell ref="E1:F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C9" sqref="C9"/>
    </sheetView>
  </sheetViews>
  <sheetFormatPr defaultColWidth="9" defaultRowHeight="14.5"/>
  <cols>
    <col min="1" max="1" width="11.36328125" customWidth="1"/>
  </cols>
  <sheetData>
    <row r="1" spans="1:2">
      <c r="A1" t="s">
        <v>88</v>
      </c>
      <c r="B1" t="s">
        <v>89</v>
      </c>
    </row>
    <row r="2" spans="1:2">
      <c r="A2" t="s">
        <v>1</v>
      </c>
      <c r="B2">
        <v>89</v>
      </c>
    </row>
    <row r="3" spans="1:2">
      <c r="A3" t="s">
        <v>39</v>
      </c>
      <c r="B3">
        <v>78</v>
      </c>
    </row>
    <row r="4" spans="1:2">
      <c r="A4" t="s">
        <v>40</v>
      </c>
      <c r="B4">
        <v>85</v>
      </c>
    </row>
    <row r="5" spans="1:2">
      <c r="A5" t="s">
        <v>90</v>
      </c>
      <c r="B5">
        <v>67</v>
      </c>
    </row>
    <row r="6" spans="1:2">
      <c r="A6" t="s">
        <v>42</v>
      </c>
      <c r="B6">
        <v>81</v>
      </c>
    </row>
    <row r="7" spans="1:2">
      <c r="B7">
        <f>SUM(B2:B6)</f>
        <v>400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selection activeCell="J9" sqref="J9"/>
    </sheetView>
  </sheetViews>
  <sheetFormatPr defaultColWidth="9" defaultRowHeight="14.5"/>
  <sheetData>
    <row r="1" spans="1:8">
      <c r="A1" t="s">
        <v>91</v>
      </c>
      <c r="B1">
        <v>999</v>
      </c>
    </row>
    <row r="2" spans="1:8">
      <c r="A2" t="s">
        <v>92</v>
      </c>
      <c r="B2">
        <v>25</v>
      </c>
    </row>
    <row r="3" spans="1:8">
      <c r="B3">
        <f>B1*B2</f>
        <v>24975</v>
      </c>
    </row>
    <row r="7" spans="1:8">
      <c r="C7" s="21" t="s">
        <v>91</v>
      </c>
      <c r="D7" s="21" t="s">
        <v>91</v>
      </c>
      <c r="E7" s="21" t="s">
        <v>91</v>
      </c>
      <c r="F7" s="21" t="s">
        <v>91</v>
      </c>
      <c r="G7" s="21" t="s">
        <v>91</v>
      </c>
      <c r="H7" s="21" t="s">
        <v>91</v>
      </c>
    </row>
    <row r="8" spans="1:8">
      <c r="B8">
        <f>B3</f>
        <v>24975</v>
      </c>
      <c r="C8">
        <v>789</v>
      </c>
      <c r="D8">
        <v>889</v>
      </c>
      <c r="E8">
        <v>999</v>
      </c>
      <c r="F8">
        <v>1010</v>
      </c>
      <c r="G8">
        <v>789</v>
      </c>
      <c r="H8">
        <v>909</v>
      </c>
    </row>
    <row r="9" spans="1:8">
      <c r="A9" s="22" t="s">
        <v>92</v>
      </c>
      <c r="B9">
        <v>16</v>
      </c>
      <c r="C9">
        <v>12624</v>
      </c>
      <c r="D9">
        <v>14224</v>
      </c>
      <c r="E9">
        <v>15984</v>
      </c>
      <c r="F9">
        <v>16160</v>
      </c>
      <c r="G9">
        <v>12624</v>
      </c>
      <c r="H9">
        <v>14544</v>
      </c>
    </row>
    <row r="10" spans="1:8">
      <c r="A10" s="22" t="s">
        <v>92</v>
      </c>
      <c r="B10">
        <v>18</v>
      </c>
      <c r="C10">
        <v>14202</v>
      </c>
      <c r="D10">
        <v>16002</v>
      </c>
      <c r="E10">
        <v>17982</v>
      </c>
      <c r="F10">
        <v>18180</v>
      </c>
      <c r="G10">
        <v>14202</v>
      </c>
      <c r="H10">
        <v>16362</v>
      </c>
    </row>
    <row r="11" spans="1:8">
      <c r="A11" s="22" t="s">
        <v>92</v>
      </c>
      <c r="B11">
        <v>22</v>
      </c>
      <c r="C11">
        <v>17358</v>
      </c>
      <c r="D11">
        <v>19558</v>
      </c>
      <c r="E11">
        <v>21978</v>
      </c>
      <c r="F11">
        <v>22220</v>
      </c>
      <c r="G11">
        <v>17358</v>
      </c>
      <c r="H11">
        <v>19998</v>
      </c>
    </row>
    <row r="12" spans="1:8">
      <c r="A12" s="22" t="s">
        <v>92</v>
      </c>
      <c r="B12">
        <v>20</v>
      </c>
      <c r="C12">
        <v>15780</v>
      </c>
      <c r="D12">
        <v>17780</v>
      </c>
      <c r="E12">
        <v>19980</v>
      </c>
      <c r="F12">
        <v>20200</v>
      </c>
      <c r="G12">
        <v>15780</v>
      </c>
      <c r="H12">
        <v>18180</v>
      </c>
    </row>
    <row r="13" spans="1:8">
      <c r="A13" s="22" t="s">
        <v>92</v>
      </c>
      <c r="B13">
        <v>31</v>
      </c>
      <c r="C13">
        <v>24459</v>
      </c>
      <c r="D13">
        <v>27559</v>
      </c>
      <c r="E13">
        <v>30969</v>
      </c>
      <c r="F13">
        <v>31310</v>
      </c>
      <c r="G13">
        <v>24459</v>
      </c>
      <c r="H13">
        <v>28179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7"/>
  <sheetViews>
    <sheetView topLeftCell="A2" zoomScale="118" workbookViewId="0">
      <selection activeCell="H24" sqref="H24"/>
    </sheetView>
  </sheetViews>
  <sheetFormatPr defaultColWidth="9" defaultRowHeight="14.5"/>
  <cols>
    <col min="4" max="4" width="10.90625" customWidth="1"/>
    <col min="5" max="5" width="9.90625" customWidth="1"/>
    <col min="6" max="6" width="10.90625" customWidth="1"/>
  </cols>
  <sheetData>
    <row r="1" spans="1:6">
      <c r="A1" s="32" t="s">
        <v>93</v>
      </c>
      <c r="B1" s="32"/>
    </row>
    <row r="2" spans="1:6">
      <c r="A2" t="s">
        <v>94</v>
      </c>
      <c r="B2">
        <v>500000</v>
      </c>
      <c r="F2" s="13"/>
    </row>
    <row r="3" spans="1:6">
      <c r="A3" t="s">
        <v>95</v>
      </c>
      <c r="B3" s="6">
        <v>0.125</v>
      </c>
    </row>
    <row r="4" spans="1:6">
      <c r="A4" t="s">
        <v>96</v>
      </c>
      <c r="B4">
        <v>5</v>
      </c>
    </row>
    <row r="6" spans="1:6">
      <c r="D6" t="s">
        <v>97</v>
      </c>
      <c r="E6" t="s">
        <v>98</v>
      </c>
      <c r="F6" t="s">
        <v>99</v>
      </c>
    </row>
    <row r="7" spans="1:6">
      <c r="C7">
        <f>ROW(A1)</f>
        <v>1</v>
      </c>
      <c r="D7" s="13">
        <f>PMT($B$3/12,$B$4*12,$B$2)</f>
        <v>-11248.9691127079</v>
      </c>
      <c r="E7" s="13">
        <f>IPMT($B$3/12,C7,$B$4*12,$B$2)</f>
        <v>-5208.3333333333303</v>
      </c>
      <c r="F7" s="13">
        <f>PPMT($B$3/12,C8,$B$4*12,$B$2)</f>
        <v>-6103.5590687430704</v>
      </c>
    </row>
    <row r="8" spans="1:6">
      <c r="C8">
        <f t="shared" ref="C8:C66" si="0">ROW(A2)</f>
        <v>2</v>
      </c>
      <c r="D8" s="13">
        <f t="shared" ref="D8:D66" si="1">PMT($B$3/12,$B$4*12,$B$2)</f>
        <v>-11248.9691127079</v>
      </c>
      <c r="E8" s="13">
        <f t="shared" ref="E8:E66" si="2">IPMT($B$3/12,C8,$B$4*12,$B$2)</f>
        <v>-5145.41004396485</v>
      </c>
      <c r="F8" s="13">
        <f t="shared" ref="F8:F66" si="3">PPMT($B$3/12,C9,$B$4*12,$B$2)</f>
        <v>-6167.1378090424796</v>
      </c>
    </row>
    <row r="9" spans="1:6">
      <c r="C9">
        <f t="shared" si="0"/>
        <v>3</v>
      </c>
      <c r="D9" s="13">
        <f t="shared" si="1"/>
        <v>-11248.9691127079</v>
      </c>
      <c r="E9" s="13">
        <f t="shared" si="2"/>
        <v>-5081.8313036654399</v>
      </c>
      <c r="F9" s="13">
        <f t="shared" si="3"/>
        <v>-6231.3788278866696</v>
      </c>
    </row>
    <row r="10" spans="1:6">
      <c r="C10">
        <f t="shared" si="0"/>
        <v>4</v>
      </c>
      <c r="D10" s="13">
        <f t="shared" si="1"/>
        <v>-11248.9691127079</v>
      </c>
      <c r="E10" s="13">
        <f t="shared" si="2"/>
        <v>-5017.59028482125</v>
      </c>
      <c r="F10" s="13">
        <f t="shared" si="3"/>
        <v>-6296.2890240104898</v>
      </c>
    </row>
    <row r="11" spans="1:6">
      <c r="C11">
        <f t="shared" si="0"/>
        <v>5</v>
      </c>
      <c r="D11" s="13">
        <f t="shared" si="1"/>
        <v>-11248.9691127079</v>
      </c>
      <c r="E11" s="13">
        <f t="shared" si="2"/>
        <v>-4952.6800886974297</v>
      </c>
      <c r="F11" s="13">
        <f t="shared" si="3"/>
        <v>-6361.8753680106001</v>
      </c>
    </row>
    <row r="12" spans="1:6">
      <c r="C12">
        <f t="shared" si="0"/>
        <v>6</v>
      </c>
      <c r="D12" s="13">
        <f t="shared" si="1"/>
        <v>-11248.9691127079</v>
      </c>
      <c r="E12" s="13">
        <f t="shared" si="2"/>
        <v>-4887.0937446973203</v>
      </c>
      <c r="F12" s="13">
        <f t="shared" si="3"/>
        <v>-6428.1449030940403</v>
      </c>
    </row>
    <row r="13" spans="1:6">
      <c r="C13">
        <f t="shared" si="0"/>
        <v>7</v>
      </c>
      <c r="D13" s="13">
        <f t="shared" si="1"/>
        <v>-11248.9691127079</v>
      </c>
      <c r="E13" s="13">
        <f t="shared" si="2"/>
        <v>-4820.8242096138802</v>
      </c>
      <c r="F13" s="13">
        <f t="shared" si="3"/>
        <v>-6495.1047458346102</v>
      </c>
    </row>
    <row r="14" spans="1:6">
      <c r="C14">
        <f t="shared" si="0"/>
        <v>8</v>
      </c>
      <c r="D14" s="13">
        <f t="shared" si="1"/>
        <v>-11248.9691127079</v>
      </c>
      <c r="E14" s="13">
        <f t="shared" si="2"/>
        <v>-4753.8643668733102</v>
      </c>
      <c r="F14" s="13">
        <f t="shared" si="3"/>
        <v>-6562.7620869370503</v>
      </c>
    </row>
    <row r="15" spans="1:6">
      <c r="C15">
        <f t="shared" si="0"/>
        <v>9</v>
      </c>
      <c r="D15" s="13">
        <f t="shared" si="1"/>
        <v>-11248.9691127079</v>
      </c>
      <c r="E15" s="13">
        <f t="shared" si="2"/>
        <v>-4686.2070257708701</v>
      </c>
      <c r="F15" s="13">
        <f t="shared" si="3"/>
        <v>-6631.1241920093098</v>
      </c>
    </row>
    <row r="16" spans="1:6">
      <c r="C16">
        <f t="shared" si="0"/>
        <v>10</v>
      </c>
      <c r="D16" s="13">
        <f t="shared" si="1"/>
        <v>-11248.9691127079</v>
      </c>
      <c r="E16" s="13">
        <f t="shared" si="2"/>
        <v>-4617.8449206986097</v>
      </c>
      <c r="F16" s="13">
        <f t="shared" si="3"/>
        <v>-6700.1984023427403</v>
      </c>
    </row>
    <row r="17" spans="3:6">
      <c r="C17">
        <f t="shared" si="0"/>
        <v>11</v>
      </c>
      <c r="D17" s="13">
        <f t="shared" si="1"/>
        <v>-11248.9691127079</v>
      </c>
      <c r="E17" s="13">
        <f t="shared" si="2"/>
        <v>-4548.7707103651801</v>
      </c>
      <c r="F17" s="13">
        <f t="shared" si="3"/>
        <v>-6769.9921357004796</v>
      </c>
    </row>
    <row r="18" spans="3:6">
      <c r="C18">
        <f t="shared" si="0"/>
        <v>12</v>
      </c>
      <c r="D18" s="13">
        <f t="shared" si="1"/>
        <v>-11248.9691127079</v>
      </c>
      <c r="E18" s="13">
        <f t="shared" si="2"/>
        <v>-4478.9769770074399</v>
      </c>
      <c r="F18" s="13">
        <f t="shared" si="3"/>
        <v>-6840.5128871140296</v>
      </c>
    </row>
    <row r="19" spans="3:6">
      <c r="C19">
        <f t="shared" si="0"/>
        <v>13</v>
      </c>
      <c r="D19" s="13">
        <f t="shared" si="1"/>
        <v>-11248.9691127079</v>
      </c>
      <c r="E19" s="13">
        <f t="shared" si="2"/>
        <v>-4408.4562255938899</v>
      </c>
      <c r="F19" s="13">
        <f t="shared" si="3"/>
        <v>-6911.7682296881303</v>
      </c>
    </row>
    <row r="20" spans="3:6">
      <c r="C20">
        <f t="shared" si="0"/>
        <v>14</v>
      </c>
      <c r="D20" s="13">
        <f t="shared" si="1"/>
        <v>-11248.9691127079</v>
      </c>
      <c r="E20" s="13">
        <f t="shared" si="2"/>
        <v>-4337.2008830197901</v>
      </c>
      <c r="F20" s="13">
        <f t="shared" si="3"/>
        <v>-6983.7658154140499</v>
      </c>
    </row>
    <row r="21" spans="3:6">
      <c r="C21">
        <f t="shared" si="0"/>
        <v>15</v>
      </c>
      <c r="D21" s="13">
        <f t="shared" si="1"/>
        <v>-11248.9691127079</v>
      </c>
      <c r="E21" s="13">
        <f t="shared" si="2"/>
        <v>-4265.2032972938696</v>
      </c>
      <c r="F21" s="13">
        <f t="shared" si="3"/>
        <v>-7056.5133759912796</v>
      </c>
    </row>
    <row r="22" spans="3:6">
      <c r="C22">
        <f t="shared" si="0"/>
        <v>16</v>
      </c>
      <c r="D22" s="13">
        <f t="shared" si="1"/>
        <v>-11248.9691127079</v>
      </c>
      <c r="E22" s="13">
        <f t="shared" si="2"/>
        <v>-4192.4557367166399</v>
      </c>
      <c r="F22" s="13">
        <f t="shared" si="3"/>
        <v>-7130.0187236578504</v>
      </c>
    </row>
    <row r="23" spans="3:6">
      <c r="C23">
        <f t="shared" si="0"/>
        <v>17</v>
      </c>
      <c r="D23" s="13">
        <f t="shared" si="1"/>
        <v>-11248.9691127079</v>
      </c>
      <c r="E23" s="13">
        <f t="shared" si="2"/>
        <v>-4118.95038905007</v>
      </c>
      <c r="F23" s="13">
        <f t="shared" si="3"/>
        <v>-7204.28975202929</v>
      </c>
    </row>
    <row r="24" spans="3:6">
      <c r="C24">
        <f t="shared" si="0"/>
        <v>18</v>
      </c>
      <c r="D24" s="13">
        <f t="shared" si="1"/>
        <v>-11248.9691127079</v>
      </c>
      <c r="E24" s="13">
        <f t="shared" si="2"/>
        <v>-4044.67936067863</v>
      </c>
      <c r="F24" s="13">
        <f t="shared" si="3"/>
        <v>-7279.3344369462602</v>
      </c>
    </row>
    <row r="25" spans="3:6">
      <c r="C25">
        <f t="shared" si="0"/>
        <v>19</v>
      </c>
      <c r="D25" s="13">
        <f t="shared" si="1"/>
        <v>-11248.9691127079</v>
      </c>
      <c r="E25" s="13">
        <f t="shared" si="2"/>
        <v>-3969.6346757616602</v>
      </c>
      <c r="F25" s="13">
        <f t="shared" si="3"/>
        <v>-7355.1608373311201</v>
      </c>
    </row>
    <row r="26" spans="3:6">
      <c r="C26">
        <f t="shared" si="0"/>
        <v>20</v>
      </c>
      <c r="D26" s="13">
        <f t="shared" si="1"/>
        <v>-11248.9691127079</v>
      </c>
      <c r="E26" s="13">
        <f t="shared" si="2"/>
        <v>-3893.8082753767999</v>
      </c>
      <c r="F26" s="13">
        <f t="shared" si="3"/>
        <v>-7431.7770960533198</v>
      </c>
    </row>
    <row r="27" spans="3:6">
      <c r="C27">
        <f t="shared" si="0"/>
        <v>21</v>
      </c>
      <c r="D27" s="13">
        <f t="shared" si="1"/>
        <v>-11248.9691127079</v>
      </c>
      <c r="E27" s="13">
        <f t="shared" si="2"/>
        <v>-3817.1920166546001</v>
      </c>
      <c r="F27" s="13">
        <f t="shared" si="3"/>
        <v>-7509.1914408038701</v>
      </c>
    </row>
    <row r="28" spans="3:6">
      <c r="C28">
        <f t="shared" si="0"/>
        <v>22</v>
      </c>
      <c r="D28" s="13">
        <f t="shared" si="1"/>
        <v>-11248.9691127079</v>
      </c>
      <c r="E28" s="13">
        <f t="shared" si="2"/>
        <v>-3739.7776719040498</v>
      </c>
      <c r="F28" s="13">
        <f t="shared" si="3"/>
        <v>-7587.4121849789099</v>
      </c>
    </row>
    <row r="29" spans="3:6">
      <c r="C29">
        <f t="shared" si="0"/>
        <v>23</v>
      </c>
      <c r="D29" s="13">
        <f t="shared" si="1"/>
        <v>-11248.9691127079</v>
      </c>
      <c r="E29" s="13">
        <f t="shared" si="2"/>
        <v>-3661.5569277290101</v>
      </c>
      <c r="F29" s="13">
        <f t="shared" si="3"/>
        <v>-7666.4477285724397</v>
      </c>
    </row>
    <row r="30" spans="3:6">
      <c r="C30">
        <f t="shared" si="0"/>
        <v>24</v>
      </c>
      <c r="D30" s="13">
        <f t="shared" si="1"/>
        <v>-11248.9691127079</v>
      </c>
      <c r="E30" s="13">
        <f t="shared" si="2"/>
        <v>-3582.5213841354798</v>
      </c>
      <c r="F30" s="13">
        <f t="shared" si="3"/>
        <v>-7746.3065590784099</v>
      </c>
    </row>
    <row r="31" spans="3:6">
      <c r="C31">
        <f t="shared" si="0"/>
        <v>25</v>
      </c>
      <c r="D31" s="13">
        <f t="shared" si="1"/>
        <v>-11248.9691127079</v>
      </c>
      <c r="E31" s="13">
        <f t="shared" si="2"/>
        <v>-3502.6625536295101</v>
      </c>
      <c r="F31" s="13">
        <f t="shared" si="3"/>
        <v>-7826.9972524021396</v>
      </c>
    </row>
    <row r="32" spans="3:6">
      <c r="C32">
        <f t="shared" si="0"/>
        <v>26</v>
      </c>
      <c r="D32" s="13">
        <f t="shared" si="1"/>
        <v>-11248.9691127079</v>
      </c>
      <c r="E32" s="13">
        <f t="shared" si="2"/>
        <v>-3421.97186030578</v>
      </c>
      <c r="F32" s="13">
        <f t="shared" si="3"/>
        <v>-7908.5284737813299</v>
      </c>
    </row>
    <row r="33" spans="3:6">
      <c r="C33">
        <f t="shared" si="0"/>
        <v>27</v>
      </c>
      <c r="D33" s="13">
        <f t="shared" si="1"/>
        <v>-11248.9691127079</v>
      </c>
      <c r="E33" s="13">
        <f t="shared" si="2"/>
        <v>-3340.4406389265901</v>
      </c>
      <c r="F33" s="13">
        <f t="shared" si="3"/>
        <v>-7990.9089787165503</v>
      </c>
    </row>
    <row r="34" spans="3:6">
      <c r="C34">
        <f t="shared" si="0"/>
        <v>28</v>
      </c>
      <c r="D34" s="13">
        <f t="shared" si="1"/>
        <v>-11248.9691127079</v>
      </c>
      <c r="E34" s="13">
        <f t="shared" si="2"/>
        <v>-3258.0601339913701</v>
      </c>
      <c r="F34" s="13">
        <f t="shared" si="3"/>
        <v>-8074.1476139115202</v>
      </c>
    </row>
    <row r="35" spans="3:6">
      <c r="C35">
        <f t="shared" si="0"/>
        <v>29</v>
      </c>
      <c r="D35" s="13">
        <f t="shared" si="1"/>
        <v>-11248.9691127079</v>
      </c>
      <c r="E35" s="13">
        <f t="shared" si="2"/>
        <v>-3174.8214987964002</v>
      </c>
      <c r="F35" s="13">
        <f t="shared" si="3"/>
        <v>-8158.25331822309</v>
      </c>
    </row>
    <row r="36" spans="3:6">
      <c r="C36">
        <f t="shared" si="0"/>
        <v>30</v>
      </c>
      <c r="D36" s="13">
        <f t="shared" si="1"/>
        <v>-11248.9691127079</v>
      </c>
      <c r="E36" s="13">
        <f t="shared" si="2"/>
        <v>-3090.71579448483</v>
      </c>
      <c r="F36" s="13">
        <f t="shared" si="3"/>
        <v>-8243.2351236212508</v>
      </c>
    </row>
    <row r="37" spans="3:6">
      <c r="C37">
        <f t="shared" si="0"/>
        <v>31</v>
      </c>
      <c r="D37" s="13">
        <f t="shared" si="1"/>
        <v>-11248.9691127079</v>
      </c>
      <c r="E37" s="13">
        <f t="shared" si="2"/>
        <v>-3005.7339890866701</v>
      </c>
      <c r="F37" s="13">
        <f t="shared" si="3"/>
        <v>-8329.1021561589696</v>
      </c>
    </row>
    <row r="38" spans="3:6">
      <c r="C38">
        <f t="shared" si="0"/>
        <v>32</v>
      </c>
      <c r="D38" s="13">
        <f t="shared" si="1"/>
        <v>-11248.9691127079</v>
      </c>
      <c r="E38" s="13">
        <f t="shared" si="2"/>
        <v>-2919.8669565489499</v>
      </c>
      <c r="F38" s="13">
        <f t="shared" si="3"/>
        <v>-8415.8636369522992</v>
      </c>
    </row>
    <row r="39" spans="3:6">
      <c r="C39">
        <f t="shared" si="0"/>
        <v>33</v>
      </c>
      <c r="D39" s="13">
        <f t="shared" si="1"/>
        <v>-11248.9691127079</v>
      </c>
      <c r="E39" s="13">
        <f t="shared" si="2"/>
        <v>-2833.1054757556299</v>
      </c>
      <c r="F39" s="13">
        <f t="shared" si="3"/>
        <v>-8503.5288831705493</v>
      </c>
    </row>
    <row r="40" spans="3:6">
      <c r="C40">
        <f t="shared" si="0"/>
        <v>34</v>
      </c>
      <c r="D40" s="13">
        <f t="shared" si="1"/>
        <v>-11248.9691127079</v>
      </c>
      <c r="E40" s="13">
        <f t="shared" si="2"/>
        <v>-2745.4402295373702</v>
      </c>
      <c r="F40" s="13">
        <f t="shared" si="3"/>
        <v>-8592.10730903691</v>
      </c>
    </row>
    <row r="41" spans="3:6">
      <c r="C41">
        <f t="shared" si="0"/>
        <v>35</v>
      </c>
      <c r="D41" s="13">
        <f t="shared" si="1"/>
        <v>-11248.9691127079</v>
      </c>
      <c r="E41" s="13">
        <f t="shared" si="2"/>
        <v>-2656.86180367101</v>
      </c>
      <c r="F41" s="13">
        <f t="shared" si="3"/>
        <v>-8681.6084268393806</v>
      </c>
    </row>
    <row r="42" spans="3:6">
      <c r="C42">
        <f t="shared" si="0"/>
        <v>36</v>
      </c>
      <c r="D42" s="13">
        <f t="shared" si="1"/>
        <v>-11248.9691127079</v>
      </c>
      <c r="E42" s="13">
        <f t="shared" si="2"/>
        <v>-2567.3606858685398</v>
      </c>
      <c r="F42" s="13">
        <f t="shared" si="3"/>
        <v>-8772.0418479522796</v>
      </c>
    </row>
    <row r="43" spans="3:6">
      <c r="C43">
        <f t="shared" si="0"/>
        <v>37</v>
      </c>
      <c r="D43" s="13">
        <f t="shared" si="1"/>
        <v>-11248.9691127079</v>
      </c>
      <c r="E43" s="13">
        <f t="shared" si="2"/>
        <v>-2476.9272647556299</v>
      </c>
      <c r="F43" s="13">
        <f t="shared" si="3"/>
        <v>-8863.4172838684608</v>
      </c>
    </row>
    <row r="44" spans="3:6">
      <c r="C44">
        <f t="shared" si="0"/>
        <v>38</v>
      </c>
      <c r="D44" s="13">
        <f t="shared" si="1"/>
        <v>-11248.9691127079</v>
      </c>
      <c r="E44" s="13">
        <f t="shared" si="2"/>
        <v>-2385.5518288394601</v>
      </c>
      <c r="F44" s="13">
        <f t="shared" si="3"/>
        <v>-8955.7445472420804</v>
      </c>
    </row>
    <row r="45" spans="3:6">
      <c r="C45">
        <f t="shared" si="0"/>
        <v>39</v>
      </c>
      <c r="D45" s="13">
        <f t="shared" si="1"/>
        <v>-11248.9691127079</v>
      </c>
      <c r="E45" s="13">
        <f t="shared" si="2"/>
        <v>-2293.22456546583</v>
      </c>
      <c r="F45" s="13">
        <f t="shared" si="3"/>
        <v>-9049.0335529425192</v>
      </c>
    </row>
    <row r="46" spans="3:6">
      <c r="C46">
        <f t="shared" si="0"/>
        <v>40</v>
      </c>
      <c r="D46" s="13">
        <f t="shared" si="1"/>
        <v>-11248.9691127079</v>
      </c>
      <c r="E46" s="13">
        <f t="shared" si="2"/>
        <v>-2199.9355597653998</v>
      </c>
      <c r="F46" s="13">
        <f t="shared" si="3"/>
        <v>-9143.2943191190097</v>
      </c>
    </row>
    <row r="47" spans="3:6">
      <c r="C47">
        <f t="shared" si="0"/>
        <v>41</v>
      </c>
      <c r="D47" s="13">
        <f t="shared" si="1"/>
        <v>-11248.9691127079</v>
      </c>
      <c r="E47" s="13">
        <f t="shared" si="2"/>
        <v>-2105.6747935889098</v>
      </c>
      <c r="F47" s="13">
        <f t="shared" si="3"/>
        <v>-9238.5369682764995</v>
      </c>
    </row>
    <row r="48" spans="3:6">
      <c r="C48">
        <f t="shared" si="0"/>
        <v>42</v>
      </c>
      <c r="D48" s="13">
        <f t="shared" si="1"/>
        <v>-11248.9691127079</v>
      </c>
      <c r="E48" s="13">
        <f t="shared" si="2"/>
        <v>-2010.4321444314201</v>
      </c>
      <c r="F48" s="13">
        <f t="shared" si="3"/>
        <v>-9334.7717283627098</v>
      </c>
    </row>
    <row r="49" spans="3:6">
      <c r="C49">
        <f t="shared" si="0"/>
        <v>43</v>
      </c>
      <c r="D49" s="13">
        <f t="shared" si="1"/>
        <v>-11248.9691127079</v>
      </c>
      <c r="E49" s="13">
        <f t="shared" si="2"/>
        <v>-1914.1973843452099</v>
      </c>
      <c r="F49" s="13">
        <f t="shared" si="3"/>
        <v>-9432.0089338664893</v>
      </c>
    </row>
    <row r="50" spans="3:6">
      <c r="C50">
        <f t="shared" si="0"/>
        <v>44</v>
      </c>
      <c r="D50" s="13">
        <f t="shared" si="1"/>
        <v>-11248.9691127079</v>
      </c>
      <c r="E50" s="13">
        <f t="shared" si="2"/>
        <v>-1816.96017884143</v>
      </c>
      <c r="F50" s="13">
        <f t="shared" si="3"/>
        <v>-9530.2590269276006</v>
      </c>
    </row>
    <row r="51" spans="3:6">
      <c r="C51">
        <f t="shared" si="0"/>
        <v>45</v>
      </c>
      <c r="D51" s="13">
        <f t="shared" si="1"/>
        <v>-11248.9691127079</v>
      </c>
      <c r="E51" s="13">
        <f t="shared" si="2"/>
        <v>-1718.71008578032</v>
      </c>
      <c r="F51" s="13">
        <f t="shared" si="3"/>
        <v>-9629.5325584581005</v>
      </c>
    </row>
    <row r="52" spans="3:6">
      <c r="C52">
        <f t="shared" si="0"/>
        <v>46</v>
      </c>
      <c r="D52" s="13">
        <f t="shared" si="1"/>
        <v>-11248.9691127079</v>
      </c>
      <c r="E52" s="13">
        <f t="shared" si="2"/>
        <v>-1619.4365542498199</v>
      </c>
      <c r="F52" s="13">
        <f t="shared" si="3"/>
        <v>-9729.84018927537</v>
      </c>
    </row>
    <row r="53" spans="3:6">
      <c r="C53">
        <f t="shared" si="0"/>
        <v>47</v>
      </c>
      <c r="D53" s="13">
        <f t="shared" si="1"/>
        <v>-11248.9691127079</v>
      </c>
      <c r="E53" s="13">
        <f t="shared" si="2"/>
        <v>-1519.12892343255</v>
      </c>
      <c r="F53" s="13">
        <f t="shared" si="3"/>
        <v>-9831.1926912469899</v>
      </c>
    </row>
    <row r="54" spans="3:6">
      <c r="C54">
        <f t="shared" si="0"/>
        <v>48</v>
      </c>
      <c r="D54" s="13">
        <f t="shared" si="1"/>
        <v>-11248.9691127079</v>
      </c>
      <c r="E54" s="13">
        <f t="shared" si="2"/>
        <v>-1417.7764214609299</v>
      </c>
      <c r="F54" s="13">
        <f t="shared" si="3"/>
        <v>-9933.6009484474707</v>
      </c>
    </row>
    <row r="55" spans="3:6">
      <c r="C55">
        <f t="shared" si="0"/>
        <v>49</v>
      </c>
      <c r="D55" s="13">
        <f t="shared" si="1"/>
        <v>-11248.9691127079</v>
      </c>
      <c r="E55" s="13">
        <f t="shared" si="2"/>
        <v>-1315.3681642604499</v>
      </c>
      <c r="F55" s="13">
        <f t="shared" si="3"/>
        <v>-10037.075958327099</v>
      </c>
    </row>
    <row r="56" spans="3:6">
      <c r="C56">
        <f t="shared" si="0"/>
        <v>50</v>
      </c>
      <c r="D56" s="13">
        <f t="shared" si="1"/>
        <v>-11248.9691127079</v>
      </c>
      <c r="E56" s="13">
        <f t="shared" si="2"/>
        <v>-1211.8931543807801</v>
      </c>
      <c r="F56" s="13">
        <f t="shared" si="3"/>
        <v>-10141.628832893</v>
      </c>
    </row>
    <row r="57" spans="3:6">
      <c r="C57">
        <f t="shared" si="0"/>
        <v>51</v>
      </c>
      <c r="D57" s="13">
        <f t="shared" si="1"/>
        <v>-11248.9691127079</v>
      </c>
      <c r="E57" s="13">
        <f t="shared" si="2"/>
        <v>-1107.34027981488</v>
      </c>
      <c r="F57" s="13">
        <f t="shared" si="3"/>
        <v>-10247.2707999023</v>
      </c>
    </row>
    <row r="58" spans="3:6">
      <c r="C58">
        <f t="shared" si="0"/>
        <v>52</v>
      </c>
      <c r="D58" s="13">
        <f t="shared" si="1"/>
        <v>-11248.9691127079</v>
      </c>
      <c r="E58" s="13">
        <f t="shared" si="2"/>
        <v>-1001.69831280557</v>
      </c>
      <c r="F58" s="13">
        <f t="shared" si="3"/>
        <v>-10354.013204068</v>
      </c>
    </row>
    <row r="59" spans="3:6">
      <c r="C59">
        <f t="shared" si="0"/>
        <v>53</v>
      </c>
      <c r="D59" s="13">
        <f t="shared" si="1"/>
        <v>-11248.9691127079</v>
      </c>
      <c r="E59" s="13">
        <f t="shared" si="2"/>
        <v>-894.95590863992402</v>
      </c>
      <c r="F59" s="13">
        <f t="shared" si="3"/>
        <v>-10461.867508277001</v>
      </c>
    </row>
    <row r="60" spans="3:6">
      <c r="C60">
        <f t="shared" si="0"/>
        <v>54</v>
      </c>
      <c r="D60" s="13">
        <f t="shared" si="1"/>
        <v>-11248.9691127079</v>
      </c>
      <c r="E60" s="13">
        <f t="shared" si="2"/>
        <v>-787.10160443088296</v>
      </c>
      <c r="F60" s="13">
        <f t="shared" si="3"/>
        <v>-10570.8452948216</v>
      </c>
    </row>
    <row r="61" spans="3:6">
      <c r="C61">
        <f t="shared" si="0"/>
        <v>55</v>
      </c>
      <c r="D61" s="13">
        <f t="shared" si="1"/>
        <v>-11248.9691127079</v>
      </c>
      <c r="E61" s="13">
        <f t="shared" si="2"/>
        <v>-678.12381788633002</v>
      </c>
      <c r="F61" s="13">
        <f t="shared" si="3"/>
        <v>-10680.958266642599</v>
      </c>
    </row>
    <row r="62" spans="3:6">
      <c r="C62">
        <f t="shared" si="0"/>
        <v>56</v>
      </c>
      <c r="D62" s="13">
        <f t="shared" si="1"/>
        <v>-11248.9691127079</v>
      </c>
      <c r="E62" s="13">
        <f t="shared" si="2"/>
        <v>-568.01084606527195</v>
      </c>
      <c r="F62" s="13">
        <f t="shared" si="3"/>
        <v>-10792.2182485868</v>
      </c>
    </row>
    <row r="63" spans="3:6">
      <c r="C63">
        <f t="shared" si="0"/>
        <v>57</v>
      </c>
      <c r="D63" s="13">
        <f t="shared" si="1"/>
        <v>-11248.9691127079</v>
      </c>
      <c r="E63" s="13">
        <f t="shared" si="2"/>
        <v>-456.750864121078</v>
      </c>
      <c r="F63" s="13">
        <f t="shared" si="3"/>
        <v>-10904.637188676301</v>
      </c>
    </row>
    <row r="64" spans="3:6">
      <c r="C64">
        <f t="shared" si="0"/>
        <v>58</v>
      </c>
      <c r="D64" s="13">
        <f t="shared" si="1"/>
        <v>-11248.9691127079</v>
      </c>
      <c r="E64" s="13">
        <f t="shared" si="2"/>
        <v>-344.33192403163099</v>
      </c>
      <c r="F64" s="13">
        <f t="shared" si="3"/>
        <v>-11018.227159391699</v>
      </c>
    </row>
    <row r="65" spans="3:6">
      <c r="C65">
        <f t="shared" si="0"/>
        <v>59</v>
      </c>
      <c r="D65" s="13">
        <f t="shared" si="1"/>
        <v>-11248.9691127079</v>
      </c>
      <c r="E65" s="13">
        <f t="shared" si="2"/>
        <v>-230.74195331625299</v>
      </c>
      <c r="F65" s="13">
        <f t="shared" si="3"/>
        <v>-11133.0003589687</v>
      </c>
    </row>
    <row r="66" spans="3:6">
      <c r="C66">
        <f t="shared" si="0"/>
        <v>60</v>
      </c>
      <c r="D66" s="13">
        <f t="shared" si="1"/>
        <v>-11248.9691127079</v>
      </c>
      <c r="E66" s="13">
        <f t="shared" si="2"/>
        <v>-115.968753739257</v>
      </c>
      <c r="F66" s="20" t="e">
        <f t="shared" si="3"/>
        <v>#NUM!</v>
      </c>
    </row>
    <row r="67" spans="3:6">
      <c r="D67" s="13"/>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
  <sheetViews>
    <sheetView workbookViewId="0">
      <selection activeCell="F1" sqref="F1:G1"/>
    </sheetView>
  </sheetViews>
  <sheetFormatPr defaultColWidth="9" defaultRowHeight="14.5"/>
  <cols>
    <col min="2" max="2" width="9.90625" customWidth="1"/>
    <col min="4" max="4" width="9.90625" customWidth="1"/>
  </cols>
  <sheetData>
    <row r="1" spans="1:8" ht="26">
      <c r="A1" s="32" t="s">
        <v>93</v>
      </c>
      <c r="B1" s="32"/>
      <c r="F1" s="35" t="s">
        <v>97</v>
      </c>
      <c r="G1" s="35"/>
    </row>
    <row r="2" spans="1:8">
      <c r="A2" t="s">
        <v>100</v>
      </c>
      <c r="B2" s="6">
        <v>0.08</v>
      </c>
    </row>
    <row r="3" spans="1:8">
      <c r="A3" t="s">
        <v>96</v>
      </c>
      <c r="B3">
        <v>12</v>
      </c>
      <c r="H3" s="13"/>
    </row>
    <row r="4" spans="1:8">
      <c r="A4" t="s">
        <v>94</v>
      </c>
      <c r="B4">
        <v>75000</v>
      </c>
      <c r="H4" s="13"/>
    </row>
    <row r="5" spans="1:8">
      <c r="B5" s="13">
        <f>PMT($B$2/12,$B$3*12,$B$4)</f>
        <v>-811.839437552611</v>
      </c>
      <c r="G5" s="13"/>
    </row>
    <row r="6" spans="1:8">
      <c r="G6" s="14" t="s">
        <v>100</v>
      </c>
      <c r="H6" s="15" t="s">
        <v>101</v>
      </c>
    </row>
    <row r="7" spans="1:8">
      <c r="D7" s="16"/>
      <c r="G7" s="17">
        <v>8.2500000000000004E-2</v>
      </c>
      <c r="H7" s="18">
        <f>PMT($C$7/12,$B$3*12,$B$4)</f>
        <v>-520.83333333333303</v>
      </c>
    </row>
    <row r="8" spans="1:8">
      <c r="D8" s="16"/>
      <c r="G8" s="19">
        <v>8.5000000000000006E-2</v>
      </c>
      <c r="H8" s="18">
        <f>PMT($C$8/12,$B$3*12,$B$4)</f>
        <v>-520.83333333333303</v>
      </c>
    </row>
    <row r="9" spans="1:8">
      <c r="D9" s="16"/>
      <c r="G9" s="17">
        <v>8.7499999999999994E-2</v>
      </c>
      <c r="H9" s="18">
        <f>PMT($C$9/12,$B$3*12,$B$4)</f>
        <v>-520.83333333333303</v>
      </c>
    </row>
    <row r="10" spans="1:8">
      <c r="D10" s="16"/>
      <c r="H10" s="13"/>
    </row>
    <row r="11" spans="1:8">
      <c r="H11" s="13"/>
    </row>
    <row r="12" spans="1:8">
      <c r="H12" s="13"/>
    </row>
    <row r="13" spans="1:8">
      <c r="A13" t="s">
        <v>100</v>
      </c>
      <c r="B13" s="6">
        <v>1E-4</v>
      </c>
      <c r="H13" s="13"/>
    </row>
    <row r="14" spans="1:8">
      <c r="A14" t="s">
        <v>102</v>
      </c>
      <c r="B14">
        <v>360</v>
      </c>
      <c r="H14" s="13"/>
    </row>
    <row r="15" spans="1:8">
      <c r="A15" t="s">
        <v>103</v>
      </c>
      <c r="B15">
        <v>80000</v>
      </c>
      <c r="H15" s="13"/>
    </row>
    <row r="16" spans="1:8">
      <c r="B16" s="13"/>
      <c r="H16" s="13"/>
    </row>
    <row r="17" spans="2:8">
      <c r="B17" s="13">
        <f>PMT($B$13/12,B14/12*12,$B$15)</f>
        <v>-222.556648146143</v>
      </c>
      <c r="H17" s="13"/>
    </row>
    <row r="18" spans="2:8">
      <c r="H18" s="13"/>
    </row>
    <row r="19" spans="2:8">
      <c r="H19" s="13"/>
    </row>
    <row r="20" spans="2:8">
      <c r="H20" s="13"/>
    </row>
    <row r="21" spans="2:8">
      <c r="H21" s="13"/>
    </row>
    <row r="22" spans="2:8">
      <c r="H22" s="13"/>
    </row>
    <row r="23" spans="2:8">
      <c r="H23" s="13"/>
    </row>
    <row r="24" spans="2:8">
      <c r="H24" s="13"/>
    </row>
    <row r="25" spans="2:8">
      <c r="H25" s="13"/>
    </row>
    <row r="26" spans="2:8">
      <c r="H26" s="13"/>
    </row>
    <row r="27" spans="2:8">
      <c r="H27" s="13"/>
    </row>
    <row r="28" spans="2:8">
      <c r="H28" s="13"/>
    </row>
    <row r="29" spans="2:8">
      <c r="H29" s="13"/>
    </row>
    <row r="30" spans="2:8">
      <c r="H30" s="13"/>
    </row>
    <row r="31" spans="2:8">
      <c r="H31" s="13"/>
    </row>
    <row r="32" spans="2:8">
      <c r="H32" s="13"/>
    </row>
    <row r="33" spans="8:8">
      <c r="H33" s="13"/>
    </row>
    <row r="34" spans="8:8">
      <c r="H34" s="13"/>
    </row>
    <row r="35" spans="8:8">
      <c r="H35" s="13"/>
    </row>
    <row r="36" spans="8:8">
      <c r="H36" s="13"/>
    </row>
    <row r="37" spans="8:8">
      <c r="H37" s="13"/>
    </row>
    <row r="38" spans="8:8">
      <c r="H38" s="13"/>
    </row>
    <row r="39" spans="8:8">
      <c r="H39" s="13"/>
    </row>
    <row r="40" spans="8:8">
      <c r="H40" s="13"/>
    </row>
    <row r="41" spans="8:8">
      <c r="H41" s="13"/>
    </row>
    <row r="42" spans="8:8">
      <c r="H42" s="13"/>
    </row>
    <row r="43" spans="8:8">
      <c r="H43" s="13"/>
    </row>
    <row r="44" spans="8:8">
      <c r="H44" s="13"/>
    </row>
    <row r="45" spans="8:8">
      <c r="H45" s="13"/>
    </row>
    <row r="46" spans="8:8">
      <c r="H46" s="13"/>
    </row>
    <row r="47" spans="8:8">
      <c r="H47" s="13"/>
    </row>
    <row r="48" spans="8:8">
      <c r="H48" s="13"/>
    </row>
    <row r="49" spans="8:8">
      <c r="H49" s="13"/>
    </row>
    <row r="50" spans="8:8">
      <c r="H50" s="13"/>
    </row>
    <row r="51" spans="8:8">
      <c r="H51" s="13"/>
    </row>
    <row r="52" spans="8:8">
      <c r="H52" s="13"/>
    </row>
    <row r="53" spans="8:8">
      <c r="H53" s="13"/>
    </row>
    <row r="54" spans="8:8">
      <c r="H54" s="13"/>
    </row>
    <row r="55" spans="8:8">
      <c r="H55" s="13"/>
    </row>
    <row r="56" spans="8:8">
      <c r="H56" s="13"/>
    </row>
    <row r="57" spans="8:8">
      <c r="H57" s="13"/>
    </row>
    <row r="58" spans="8:8">
      <c r="H58" s="13"/>
    </row>
    <row r="59" spans="8:8">
      <c r="H59" s="13"/>
    </row>
    <row r="60" spans="8:8">
      <c r="H60" s="13"/>
    </row>
    <row r="61" spans="8:8">
      <c r="H61" s="13"/>
    </row>
    <row r="62" spans="8:8">
      <c r="H62" s="13"/>
    </row>
    <row r="63" spans="8:8">
      <c r="H63" s="13"/>
    </row>
    <row r="64" spans="8:8">
      <c r="H64" s="13"/>
    </row>
    <row r="65" spans="8:8">
      <c r="H65" s="13"/>
    </row>
    <row r="66" spans="8:8">
      <c r="H66" s="13"/>
    </row>
    <row r="67" spans="8:8">
      <c r="H67" s="13"/>
    </row>
    <row r="68" spans="8:8">
      <c r="H68" s="13"/>
    </row>
    <row r="69" spans="8:8">
      <c r="H69" s="13"/>
    </row>
    <row r="70" spans="8:8">
      <c r="H70" s="13"/>
    </row>
    <row r="71" spans="8:8">
      <c r="H71" s="13"/>
    </row>
    <row r="72" spans="8:8">
      <c r="H72" s="13"/>
    </row>
    <row r="73" spans="8:8">
      <c r="H73" s="13"/>
    </row>
    <row r="74" spans="8:8">
      <c r="H74" s="13"/>
    </row>
    <row r="75" spans="8:8">
      <c r="H75" s="13"/>
    </row>
    <row r="76" spans="8:8">
      <c r="H76" s="13"/>
    </row>
    <row r="77" spans="8:8">
      <c r="H77" s="13"/>
    </row>
    <row r="78" spans="8:8">
      <c r="H78" s="13"/>
    </row>
    <row r="79" spans="8:8">
      <c r="H79" s="13"/>
    </row>
    <row r="80" spans="8:8">
      <c r="H80" s="13"/>
    </row>
    <row r="81" spans="8:8">
      <c r="H81" s="13"/>
    </row>
    <row r="82" spans="8:8">
      <c r="H82" s="13"/>
    </row>
    <row r="83" spans="8:8">
      <c r="H83" s="13"/>
    </row>
    <row r="84" spans="8:8">
      <c r="H84" s="13"/>
    </row>
    <row r="85" spans="8:8">
      <c r="H85" s="13"/>
    </row>
    <row r="86" spans="8:8">
      <c r="H86" s="13"/>
    </row>
    <row r="87" spans="8:8">
      <c r="H87" s="13"/>
    </row>
    <row r="88" spans="8:8">
      <c r="H88" s="13"/>
    </row>
    <row r="89" spans="8:8">
      <c r="H89" s="13"/>
    </row>
    <row r="90" spans="8:8">
      <c r="H90" s="13"/>
    </row>
    <row r="91" spans="8:8">
      <c r="H91" s="13"/>
    </row>
    <row r="92" spans="8:8">
      <c r="H92" s="13"/>
    </row>
    <row r="93" spans="8:8">
      <c r="H93" s="13"/>
    </row>
    <row r="94" spans="8:8">
      <c r="H94" s="13"/>
    </row>
    <row r="95" spans="8:8">
      <c r="H95" s="13"/>
    </row>
    <row r="96" spans="8:8">
      <c r="H96" s="13"/>
    </row>
    <row r="97" spans="8:8">
      <c r="H97" s="13"/>
    </row>
    <row r="98" spans="8:8">
      <c r="H98" s="13"/>
    </row>
    <row r="99" spans="8:8">
      <c r="H99" s="13"/>
    </row>
    <row r="100" spans="8:8">
      <c r="H100" s="13"/>
    </row>
    <row r="101" spans="8:8">
      <c r="H101" s="13"/>
    </row>
    <row r="102" spans="8:8">
      <c r="H102" s="13"/>
    </row>
    <row r="103" spans="8:8">
      <c r="H103" s="13"/>
    </row>
    <row r="104" spans="8:8">
      <c r="H104" s="13"/>
    </row>
    <row r="105" spans="8:8">
      <c r="H105" s="13"/>
    </row>
    <row r="106" spans="8:8">
      <c r="H106" s="13"/>
    </row>
    <row r="107" spans="8:8">
      <c r="H107" s="13"/>
    </row>
    <row r="108" spans="8:8">
      <c r="H108" s="13"/>
    </row>
    <row r="109" spans="8:8">
      <c r="H109" s="13"/>
    </row>
    <row r="110" spans="8:8">
      <c r="H110" s="13"/>
    </row>
    <row r="111" spans="8:8">
      <c r="H111" s="13"/>
    </row>
    <row r="112" spans="8:8">
      <c r="H112" s="13"/>
    </row>
    <row r="113" spans="8:8">
      <c r="H113" s="13"/>
    </row>
    <row r="114" spans="8:8">
      <c r="H114" s="13"/>
    </row>
    <row r="115" spans="8:8">
      <c r="H115" s="13"/>
    </row>
    <row r="116" spans="8:8">
      <c r="H116" s="13"/>
    </row>
    <row r="117" spans="8:8">
      <c r="H117" s="13"/>
    </row>
    <row r="118" spans="8:8">
      <c r="H118" s="13"/>
    </row>
    <row r="119" spans="8:8">
      <c r="H119" s="13"/>
    </row>
    <row r="120" spans="8:8">
      <c r="H120" s="13"/>
    </row>
    <row r="121" spans="8:8">
      <c r="H121" s="13"/>
    </row>
    <row r="122" spans="8:8">
      <c r="H122" s="13"/>
    </row>
    <row r="123" spans="8:8">
      <c r="H123" s="13"/>
    </row>
    <row r="124" spans="8:8">
      <c r="H124" s="13"/>
    </row>
    <row r="125" spans="8:8">
      <c r="H125" s="13"/>
    </row>
    <row r="126" spans="8:8">
      <c r="H126" s="13"/>
    </row>
    <row r="127" spans="8:8">
      <c r="H127" s="13"/>
    </row>
    <row r="128" spans="8:8">
      <c r="H128" s="13"/>
    </row>
    <row r="129" spans="8:8">
      <c r="H129" s="13"/>
    </row>
    <row r="130" spans="8:8">
      <c r="H130" s="13"/>
    </row>
    <row r="131" spans="8:8">
      <c r="H131" s="13"/>
    </row>
    <row r="132" spans="8:8">
      <c r="H132" s="13"/>
    </row>
    <row r="133" spans="8:8">
      <c r="H133" s="13"/>
    </row>
    <row r="134" spans="8:8">
      <c r="H134" s="13"/>
    </row>
    <row r="135" spans="8:8">
      <c r="H135" s="13"/>
    </row>
    <row r="136" spans="8:8">
      <c r="H136" s="13"/>
    </row>
    <row r="137" spans="8:8">
      <c r="H137" s="13"/>
    </row>
    <row r="138" spans="8:8">
      <c r="H138" s="13"/>
    </row>
    <row r="139" spans="8:8">
      <c r="H139" s="13"/>
    </row>
    <row r="140" spans="8:8">
      <c r="H140" s="13"/>
    </row>
    <row r="141" spans="8:8">
      <c r="H141" s="13"/>
    </row>
    <row r="142" spans="8:8">
      <c r="H142" s="13"/>
    </row>
    <row r="143" spans="8:8">
      <c r="H143" s="13"/>
    </row>
    <row r="144" spans="8:8">
      <c r="H144" s="13"/>
    </row>
    <row r="145" spans="8:8">
      <c r="H145" s="13"/>
    </row>
    <row r="146" spans="8:8">
      <c r="H146" s="13"/>
    </row>
    <row r="147" spans="8:8">
      <c r="H147" s="13"/>
    </row>
    <row r="148" spans="8:8">
      <c r="H148" s="13"/>
    </row>
    <row r="149" spans="8:8">
      <c r="H149" s="13"/>
    </row>
    <row r="150" spans="8:8">
      <c r="H150" s="13"/>
    </row>
  </sheetData>
  <mergeCells count="2">
    <mergeCell ref="A1:B1"/>
    <mergeCell ref="F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2"/>
  <sheetViews>
    <sheetView workbookViewId="0">
      <selection activeCell="J48" sqref="J48"/>
    </sheetView>
  </sheetViews>
  <sheetFormatPr defaultColWidth="9" defaultRowHeight="14.5"/>
  <cols>
    <col min="1" max="1" width="12" customWidth="1"/>
    <col min="2" max="3" width="10.08984375" customWidth="1"/>
  </cols>
  <sheetData>
    <row r="1" spans="1:5">
      <c r="A1" t="s">
        <v>104</v>
      </c>
      <c r="B1">
        <v>250000</v>
      </c>
    </row>
    <row r="2" spans="1:5">
      <c r="A2" t="s">
        <v>95</v>
      </c>
      <c r="B2" s="6">
        <v>0.125</v>
      </c>
    </row>
    <row r="3" spans="1:5">
      <c r="A3" t="s">
        <v>105</v>
      </c>
      <c r="B3">
        <v>2</v>
      </c>
    </row>
    <row r="4" spans="1:5">
      <c r="D4" t="s">
        <v>106</v>
      </c>
      <c r="E4" t="s">
        <v>107</v>
      </c>
    </row>
    <row r="5" spans="1:5">
      <c r="C5">
        <v>1</v>
      </c>
      <c r="D5">
        <f>CUMIPMT($B$2/12,$B$3*12,$B$1,1,6,0)</f>
        <v>-14163.7878441763</v>
      </c>
      <c r="E5">
        <f>CUMPRINC($B$2/12,$B$3*12,$B$1,1,6,0)</f>
        <v>-56797.174509072902</v>
      </c>
    </row>
    <row r="6" spans="1:5">
      <c r="C6">
        <v>2</v>
      </c>
      <c r="D6">
        <f t="shared" ref="D6:D28" si="0">CUMIPMT($B$2/12,$B$3*12,$B$1,1,6,0)</f>
        <v>-14163.7878441763</v>
      </c>
      <c r="E6">
        <f t="shared" ref="E6:E28" si="1">CUMPRINC($B$2/12,$B$3*12,$B$1,1,6,0)</f>
        <v>-56797.174509072902</v>
      </c>
    </row>
    <row r="7" spans="1:5">
      <c r="C7">
        <v>3</v>
      </c>
      <c r="D7">
        <f t="shared" si="0"/>
        <v>-14163.7878441763</v>
      </c>
      <c r="E7">
        <f t="shared" si="1"/>
        <v>-56797.174509072902</v>
      </c>
    </row>
    <row r="8" spans="1:5">
      <c r="C8">
        <v>4</v>
      </c>
      <c r="D8">
        <f t="shared" si="0"/>
        <v>-14163.7878441763</v>
      </c>
      <c r="E8">
        <f t="shared" si="1"/>
        <v>-56797.174509072902</v>
      </c>
    </row>
    <row r="9" spans="1:5">
      <c r="C9">
        <v>5</v>
      </c>
      <c r="D9">
        <f t="shared" si="0"/>
        <v>-14163.7878441763</v>
      </c>
      <c r="E9">
        <f t="shared" si="1"/>
        <v>-56797.174509072902</v>
      </c>
    </row>
    <row r="10" spans="1:5">
      <c r="C10">
        <v>6</v>
      </c>
      <c r="D10">
        <f t="shared" si="0"/>
        <v>-14163.7878441763</v>
      </c>
      <c r="E10">
        <f t="shared" si="1"/>
        <v>-56797.174509072902</v>
      </c>
    </row>
    <row r="11" spans="1:5">
      <c r="C11">
        <v>7</v>
      </c>
      <c r="D11">
        <f t="shared" si="0"/>
        <v>-14163.7878441763</v>
      </c>
      <c r="E11">
        <f t="shared" si="1"/>
        <v>-56797.174509072902</v>
      </c>
    </row>
    <row r="12" spans="1:5">
      <c r="C12">
        <v>8</v>
      </c>
      <c r="D12">
        <f t="shared" si="0"/>
        <v>-14163.7878441763</v>
      </c>
      <c r="E12">
        <f t="shared" si="1"/>
        <v>-56797.174509072902</v>
      </c>
    </row>
    <row r="13" spans="1:5">
      <c r="C13">
        <v>9</v>
      </c>
      <c r="D13">
        <f t="shared" si="0"/>
        <v>-14163.7878441763</v>
      </c>
      <c r="E13">
        <f t="shared" si="1"/>
        <v>-56797.174509072902</v>
      </c>
    </row>
    <row r="14" spans="1:5">
      <c r="C14">
        <v>10</v>
      </c>
      <c r="D14">
        <f t="shared" si="0"/>
        <v>-14163.7878441763</v>
      </c>
      <c r="E14">
        <f t="shared" si="1"/>
        <v>-56797.174509072902</v>
      </c>
    </row>
    <row r="15" spans="1:5">
      <c r="C15">
        <v>11</v>
      </c>
      <c r="D15">
        <f t="shared" si="0"/>
        <v>-14163.7878441763</v>
      </c>
      <c r="E15">
        <f t="shared" si="1"/>
        <v>-56797.174509072902</v>
      </c>
    </row>
    <row r="16" spans="1:5">
      <c r="C16">
        <v>12</v>
      </c>
      <c r="D16">
        <f t="shared" si="0"/>
        <v>-14163.7878441763</v>
      </c>
      <c r="E16">
        <f t="shared" si="1"/>
        <v>-56797.174509072902</v>
      </c>
    </row>
    <row r="17" spans="3:11">
      <c r="C17">
        <v>13</v>
      </c>
      <c r="D17">
        <f t="shared" si="0"/>
        <v>-14163.7878441763</v>
      </c>
      <c r="E17">
        <f t="shared" si="1"/>
        <v>-56797.174509072902</v>
      </c>
    </row>
    <row r="18" spans="3:11">
      <c r="C18">
        <v>14</v>
      </c>
      <c r="D18">
        <f t="shared" si="0"/>
        <v>-14163.7878441763</v>
      </c>
      <c r="E18">
        <f t="shared" si="1"/>
        <v>-56797.174509072902</v>
      </c>
    </row>
    <row r="19" spans="3:11">
      <c r="C19">
        <v>15</v>
      </c>
      <c r="D19">
        <f t="shared" si="0"/>
        <v>-14163.7878441763</v>
      </c>
      <c r="E19">
        <f t="shared" si="1"/>
        <v>-56797.174509072902</v>
      </c>
    </row>
    <row r="20" spans="3:11">
      <c r="C20">
        <v>16</v>
      </c>
      <c r="D20">
        <f t="shared" si="0"/>
        <v>-14163.7878441763</v>
      </c>
      <c r="E20">
        <f t="shared" si="1"/>
        <v>-56797.174509072902</v>
      </c>
    </row>
    <row r="21" spans="3:11">
      <c r="C21">
        <v>17</v>
      </c>
      <c r="D21">
        <f t="shared" si="0"/>
        <v>-14163.7878441763</v>
      </c>
      <c r="E21">
        <f t="shared" si="1"/>
        <v>-56797.174509072902</v>
      </c>
    </row>
    <row r="22" spans="3:11">
      <c r="C22">
        <v>18</v>
      </c>
      <c r="D22">
        <f t="shared" si="0"/>
        <v>-14163.7878441763</v>
      </c>
      <c r="E22">
        <f t="shared" si="1"/>
        <v>-56797.174509072902</v>
      </c>
    </row>
    <row r="23" spans="3:11">
      <c r="C23">
        <v>19</v>
      </c>
      <c r="D23">
        <f t="shared" si="0"/>
        <v>-14163.7878441763</v>
      </c>
      <c r="E23">
        <f t="shared" si="1"/>
        <v>-56797.174509072902</v>
      </c>
    </row>
    <row r="24" spans="3:11">
      <c r="C24">
        <v>20</v>
      </c>
      <c r="D24">
        <f t="shared" si="0"/>
        <v>-14163.7878441763</v>
      </c>
      <c r="E24">
        <f t="shared" si="1"/>
        <v>-56797.174509072902</v>
      </c>
    </row>
    <row r="25" spans="3:11">
      <c r="C25">
        <v>21</v>
      </c>
      <c r="D25">
        <f t="shared" si="0"/>
        <v>-14163.7878441763</v>
      </c>
      <c r="E25">
        <f t="shared" si="1"/>
        <v>-56797.174509072902</v>
      </c>
    </row>
    <row r="26" spans="3:11">
      <c r="C26">
        <v>22</v>
      </c>
      <c r="D26">
        <f t="shared" si="0"/>
        <v>-14163.7878441763</v>
      </c>
      <c r="E26">
        <f t="shared" si="1"/>
        <v>-56797.174509072902</v>
      </c>
    </row>
    <row r="27" spans="3:11">
      <c r="C27">
        <v>23</v>
      </c>
      <c r="D27">
        <f t="shared" si="0"/>
        <v>-14163.7878441763</v>
      </c>
      <c r="E27">
        <f t="shared" si="1"/>
        <v>-56797.174509072902</v>
      </c>
    </row>
    <row r="28" spans="3:11">
      <c r="C28">
        <v>24</v>
      </c>
      <c r="D28">
        <f t="shared" si="0"/>
        <v>-14163.7878441763</v>
      </c>
      <c r="E28">
        <f t="shared" si="1"/>
        <v>-56797.174509072902</v>
      </c>
    </row>
    <row r="32" spans="3:11" ht="26">
      <c r="H32" s="35" t="s">
        <v>108</v>
      </c>
      <c r="I32" s="35"/>
      <c r="J32" s="35"/>
      <c r="K32" s="35"/>
    </row>
    <row r="35" spans="1:7">
      <c r="A35" t="s">
        <v>109</v>
      </c>
      <c r="B35" s="5">
        <v>45292</v>
      </c>
      <c r="C35" s="5">
        <v>45658</v>
      </c>
    </row>
    <row r="37" spans="1:7">
      <c r="A37" t="s">
        <v>104</v>
      </c>
      <c r="B37">
        <v>200000</v>
      </c>
    </row>
    <row r="38" spans="1:7">
      <c r="A38" t="s">
        <v>95</v>
      </c>
      <c r="B38" s="1">
        <v>0.13</v>
      </c>
    </row>
    <row r="39" spans="1:7">
      <c r="A39" t="s">
        <v>105</v>
      </c>
      <c r="B39">
        <v>5</v>
      </c>
    </row>
    <row r="41" spans="1:7">
      <c r="F41" s="32" t="s">
        <v>110</v>
      </c>
      <c r="G41" s="32"/>
    </row>
    <row r="42" spans="1:7">
      <c r="F42">
        <f>RECEIVED(B35,C35,B37,B38)</f>
        <v>229885.05747126401</v>
      </c>
    </row>
  </sheetData>
  <mergeCells count="2">
    <mergeCell ref="H32:K32"/>
    <mergeCell ref="F41:G4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0"/>
  <sheetViews>
    <sheetView workbookViewId="0">
      <selection activeCell="E6" sqref="E6"/>
    </sheetView>
  </sheetViews>
  <sheetFormatPr defaultColWidth="8.7265625" defaultRowHeight="14.5"/>
  <cols>
    <col min="4" max="4" width="11.1796875"/>
    <col min="5" max="6" width="10.26953125" customWidth="1"/>
  </cols>
  <sheetData>
    <row r="1" spans="1:6">
      <c r="A1" t="s">
        <v>111</v>
      </c>
      <c r="B1">
        <v>250000</v>
      </c>
    </row>
    <row r="2" spans="1:6">
      <c r="A2" t="s">
        <v>112</v>
      </c>
      <c r="B2">
        <v>25000</v>
      </c>
    </row>
    <row r="3" spans="1:6">
      <c r="A3" t="s">
        <v>113</v>
      </c>
      <c r="B3">
        <v>15</v>
      </c>
    </row>
    <row r="5" spans="1:6">
      <c r="D5" t="s">
        <v>114</v>
      </c>
      <c r="E5" t="s">
        <v>115</v>
      </c>
      <c r="F5" t="s">
        <v>116</v>
      </c>
    </row>
    <row r="6" spans="1:6">
      <c r="C6">
        <v>1</v>
      </c>
      <c r="D6" s="13">
        <f>SLN($B$1,$B$2,$B$3)</f>
        <v>15000</v>
      </c>
      <c r="E6" s="13">
        <f>DB($B$1,$B$2,$B$3,C7)</f>
        <v>30459</v>
      </c>
      <c r="F6" s="13">
        <f>DDB($B$1,$B$2,$B$3,C6)</f>
        <v>33333.333333333299</v>
      </c>
    </row>
    <row r="7" spans="1:6">
      <c r="C7">
        <v>2</v>
      </c>
      <c r="D7" s="13">
        <f t="shared" ref="D7:D13" si="0">SLN($B$1,$B$2,$B$3)</f>
        <v>15000</v>
      </c>
      <c r="E7" s="13">
        <f t="shared" ref="E7:E18" si="1">DB($B$1,$B$2,$B$3,C8)</f>
        <v>26133.822</v>
      </c>
      <c r="F7" s="13">
        <f t="shared" ref="F7:F20" si="2">DDB($B$1,$B$2,$B$3,C7)</f>
        <v>28888.888888888901</v>
      </c>
    </row>
    <row r="8" spans="1:6">
      <c r="C8">
        <v>3</v>
      </c>
      <c r="D8" s="13">
        <f t="shared" si="0"/>
        <v>15000</v>
      </c>
      <c r="E8" s="13">
        <f t="shared" si="1"/>
        <v>22422.819275999998</v>
      </c>
      <c r="F8" s="13">
        <f t="shared" si="2"/>
        <v>25037.037037037</v>
      </c>
    </row>
    <row r="9" spans="1:6">
      <c r="C9">
        <v>4</v>
      </c>
      <c r="D9" s="13">
        <f t="shared" si="0"/>
        <v>15000</v>
      </c>
      <c r="E9" s="13">
        <f t="shared" si="1"/>
        <v>19238.778938807998</v>
      </c>
      <c r="F9" s="13">
        <f t="shared" si="2"/>
        <v>21698.7654320988</v>
      </c>
    </row>
    <row r="10" spans="1:6">
      <c r="C10">
        <v>5</v>
      </c>
      <c r="D10" s="13">
        <f t="shared" si="0"/>
        <v>15000</v>
      </c>
      <c r="E10" s="13">
        <f t="shared" si="1"/>
        <v>16506.872329497299</v>
      </c>
      <c r="F10" s="13">
        <f t="shared" si="2"/>
        <v>18805.596707818899</v>
      </c>
    </row>
    <row r="11" spans="1:6">
      <c r="C11">
        <v>6</v>
      </c>
      <c r="D11" s="13">
        <f t="shared" si="0"/>
        <v>15000</v>
      </c>
      <c r="E11" s="13">
        <f t="shared" si="1"/>
        <v>14162.896458708699</v>
      </c>
      <c r="F11" s="13">
        <f t="shared" si="2"/>
        <v>16298.1838134431</v>
      </c>
    </row>
    <row r="12" spans="1:6">
      <c r="C12">
        <v>7</v>
      </c>
      <c r="D12" s="13">
        <f t="shared" si="0"/>
        <v>15000</v>
      </c>
      <c r="E12" s="13">
        <f t="shared" si="1"/>
        <v>12151.765161572001</v>
      </c>
      <c r="F12" s="13">
        <f t="shared" si="2"/>
        <v>14125.092638317299</v>
      </c>
    </row>
    <row r="13" spans="1:6">
      <c r="C13">
        <v>8</v>
      </c>
      <c r="D13" s="13">
        <f t="shared" si="0"/>
        <v>15000</v>
      </c>
      <c r="E13" s="13">
        <f t="shared" si="1"/>
        <v>10426.2145086288</v>
      </c>
      <c r="F13" s="13">
        <f t="shared" si="2"/>
        <v>12241.7469532084</v>
      </c>
    </row>
    <row r="14" spans="1:6">
      <c r="C14">
        <v>9</v>
      </c>
      <c r="D14" s="13">
        <f t="shared" ref="D14:D20" si="3">SLN($B$1,$B$2,$B$3)</f>
        <v>15000</v>
      </c>
      <c r="E14" s="13">
        <f t="shared" si="1"/>
        <v>8945.6920484035109</v>
      </c>
      <c r="F14" s="13">
        <f t="shared" si="2"/>
        <v>10609.5140261139</v>
      </c>
    </row>
    <row r="15" spans="1:6">
      <c r="C15">
        <v>10</v>
      </c>
      <c r="D15" s="13">
        <f t="shared" si="3"/>
        <v>15000</v>
      </c>
      <c r="E15" s="13">
        <f t="shared" si="1"/>
        <v>7675.4037775302104</v>
      </c>
      <c r="F15" s="13">
        <f t="shared" si="2"/>
        <v>9194.9121559653795</v>
      </c>
    </row>
    <row r="16" spans="1:6">
      <c r="C16">
        <v>11</v>
      </c>
      <c r="D16" s="13">
        <f t="shared" si="3"/>
        <v>15000</v>
      </c>
      <c r="E16" s="13">
        <f t="shared" si="1"/>
        <v>6585.4964411209203</v>
      </c>
      <c r="F16" s="13">
        <f t="shared" si="2"/>
        <v>7968.9238685033397</v>
      </c>
    </row>
    <row r="17" spans="3:6">
      <c r="C17">
        <v>12</v>
      </c>
      <c r="D17" s="13">
        <f t="shared" si="3"/>
        <v>15000</v>
      </c>
      <c r="E17" s="13">
        <f t="shared" si="1"/>
        <v>5650.3559464817499</v>
      </c>
      <c r="F17" s="13">
        <f t="shared" si="2"/>
        <v>6906.4006860362297</v>
      </c>
    </row>
    <row r="18" spans="3:6">
      <c r="C18">
        <v>13</v>
      </c>
      <c r="D18" s="13">
        <f t="shared" si="3"/>
        <v>15000</v>
      </c>
      <c r="E18" s="13">
        <f t="shared" si="1"/>
        <v>4848.0054020813404</v>
      </c>
      <c r="F18" s="13">
        <f t="shared" si="2"/>
        <v>5985.5472612313897</v>
      </c>
    </row>
    <row r="19" spans="3:6">
      <c r="C19">
        <v>14</v>
      </c>
      <c r="D19" s="13">
        <f t="shared" si="3"/>
        <v>15000</v>
      </c>
      <c r="E19" s="13">
        <f>DB($B$1,$B$2,$B$3,C20)</f>
        <v>4159.5886349857901</v>
      </c>
      <c r="F19" s="13">
        <f t="shared" si="2"/>
        <v>5187.4742930672101</v>
      </c>
    </row>
    <row r="20" spans="3:6">
      <c r="C20">
        <v>15</v>
      </c>
      <c r="D20" s="13">
        <f t="shared" si="3"/>
        <v>15000</v>
      </c>
      <c r="E20" s="13" t="e">
        <f>DB($B$1,$B$2,$B$3,C21)</f>
        <v>#NUM!</v>
      </c>
      <c r="F20" s="13">
        <f t="shared" si="2"/>
        <v>4495.8110539915797</v>
      </c>
    </row>
  </sheetData>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selection activeCell="E18" sqref="E18"/>
    </sheetView>
  </sheetViews>
  <sheetFormatPr defaultColWidth="9" defaultRowHeight="14.5"/>
  <cols>
    <col min="1" max="1" width="15.1796875" customWidth="1"/>
    <col min="2" max="2" width="11.7265625" customWidth="1"/>
    <col min="4" max="4" width="18.08984375" customWidth="1"/>
    <col min="6" max="6" width="10.08984375" customWidth="1"/>
  </cols>
  <sheetData>
    <row r="1" spans="1:14">
      <c r="F1" s="34" t="s">
        <v>117</v>
      </c>
      <c r="G1" s="34"/>
    </row>
    <row r="3" spans="1:14">
      <c r="B3" t="s">
        <v>118</v>
      </c>
      <c r="C3" t="s">
        <v>119</v>
      </c>
      <c r="D3" t="s">
        <v>120</v>
      </c>
      <c r="E3" t="s">
        <v>121</v>
      </c>
      <c r="F3" t="s">
        <v>122</v>
      </c>
      <c r="G3" t="s">
        <v>123</v>
      </c>
      <c r="H3" t="s">
        <v>124</v>
      </c>
      <c r="I3" t="s">
        <v>125</v>
      </c>
      <c r="N3" t="s">
        <v>126</v>
      </c>
    </row>
    <row r="4" spans="1:14">
      <c r="A4" t="s">
        <v>127</v>
      </c>
      <c r="B4" t="str">
        <f>LOWER(A4)</f>
        <v>malkeet</v>
      </c>
      <c r="C4" t="str">
        <f>UPPER(B4)</f>
        <v>MALKEET</v>
      </c>
      <c r="D4" t="str">
        <f>LEFT(A4,3)</f>
        <v>Mal</v>
      </c>
      <c r="E4" t="str">
        <f>RIGHT(A4,4)</f>
        <v>keet</v>
      </c>
      <c r="F4" t="str">
        <f>MID(A4,3,7)</f>
        <v>lkeet</v>
      </c>
      <c r="G4">
        <f>LEN(A4)</f>
        <v>7</v>
      </c>
      <c r="H4" t="str">
        <f>TRIM(N3)</f>
        <v>MAL MAL</v>
      </c>
      <c r="I4" t="str">
        <f>PROPER(B4)</f>
        <v>Malkeet</v>
      </c>
    </row>
    <row r="7" spans="1:14">
      <c r="F7" s="34" t="s">
        <v>128</v>
      </c>
      <c r="G7" s="34"/>
    </row>
    <row r="9" spans="1:14">
      <c r="A9" s="5" t="s">
        <v>129</v>
      </c>
      <c r="B9" t="s">
        <v>130</v>
      </c>
      <c r="C9" t="s">
        <v>53</v>
      </c>
      <c r="D9" t="s">
        <v>131</v>
      </c>
      <c r="E9" t="s">
        <v>132</v>
      </c>
      <c r="F9" t="s">
        <v>109</v>
      </c>
    </row>
    <row r="10" spans="1:14">
      <c r="A10" s="12">
        <f ca="1">NOW()</f>
        <v>46133.12230949074</v>
      </c>
      <c r="B10" s="5">
        <f ca="1">TODAY()</f>
        <v>46133</v>
      </c>
      <c r="C10">
        <f ca="1">YEAR(B10)</f>
        <v>2026</v>
      </c>
      <c r="D10">
        <f ca="1">MONTH(B10)</f>
        <v>4</v>
      </c>
      <c r="E10">
        <f ca="1">DAY(B10)</f>
        <v>21</v>
      </c>
      <c r="F10" s="5">
        <f ca="1">DATE(C10,D10,E10)</f>
        <v>46133</v>
      </c>
    </row>
    <row r="13" spans="1:14" ht="23.5">
      <c r="B13" s="37" t="s">
        <v>133</v>
      </c>
      <c r="C13" s="37"/>
    </row>
    <row r="15" spans="1:14">
      <c r="A15" t="s">
        <v>134</v>
      </c>
      <c r="B15" t="s">
        <v>135</v>
      </c>
      <c r="E15" s="32" t="s">
        <v>136</v>
      </c>
      <c r="F15" s="32"/>
    </row>
    <row r="16" spans="1:14">
      <c r="A16" s="5">
        <v>45292</v>
      </c>
      <c r="B16" s="5" t="s">
        <v>137</v>
      </c>
      <c r="D16" t="s">
        <v>138</v>
      </c>
      <c r="E16" s="32">
        <f>NETWORKDAYS(A16,A17)</f>
        <v>263</v>
      </c>
      <c r="F16" s="32"/>
    </row>
    <row r="17" spans="1:6">
      <c r="A17" s="5">
        <v>45658</v>
      </c>
      <c r="B17" t="s">
        <v>139</v>
      </c>
      <c r="D17" t="s">
        <v>140</v>
      </c>
      <c r="E17" s="36" t="e">
        <f>NETWORKDAYS(A16,A17,B16:B18)</f>
        <v>#VALUE!</v>
      </c>
      <c r="F17" s="36"/>
    </row>
    <row r="18" spans="1:6">
      <c r="B18" s="5" t="s">
        <v>141</v>
      </c>
    </row>
  </sheetData>
  <mergeCells count="6">
    <mergeCell ref="E17:F17"/>
    <mergeCell ref="F1:G1"/>
    <mergeCell ref="F7:G7"/>
    <mergeCell ref="B13:C13"/>
    <mergeCell ref="E15:F15"/>
    <mergeCell ref="E16:F1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J13" sqref="J13"/>
    </sheetView>
  </sheetViews>
  <sheetFormatPr defaultColWidth="9" defaultRowHeight="14.5"/>
  <cols>
    <col min="1" max="1" width="12.6328125" customWidth="1"/>
    <col min="4" max="4" width="12.6328125" customWidth="1"/>
    <col min="5" max="5" width="9.90625" customWidth="1"/>
  </cols>
  <sheetData>
    <row r="1" spans="1:8" ht="31">
      <c r="F1" s="38" t="s">
        <v>142</v>
      </c>
      <c r="G1" s="38"/>
      <c r="H1" s="38"/>
    </row>
    <row r="3" spans="1:8">
      <c r="A3" t="s">
        <v>38</v>
      </c>
      <c r="B3" t="s">
        <v>143</v>
      </c>
      <c r="C3" t="s">
        <v>144</v>
      </c>
      <c r="D3" t="s">
        <v>145</v>
      </c>
    </row>
    <row r="4" spans="1:8">
      <c r="A4" t="s">
        <v>146</v>
      </c>
      <c r="B4">
        <v>44</v>
      </c>
      <c r="C4">
        <v>34</v>
      </c>
      <c r="D4">
        <v>41</v>
      </c>
    </row>
    <row r="5" spans="1:8">
      <c r="A5" t="s">
        <v>49</v>
      </c>
      <c r="B5">
        <v>66</v>
      </c>
      <c r="C5">
        <v>48</v>
      </c>
      <c r="D5">
        <v>44</v>
      </c>
    </row>
    <row r="6" spans="1:8">
      <c r="A6" t="s">
        <v>9</v>
      </c>
      <c r="B6">
        <v>46</v>
      </c>
      <c r="C6">
        <v>46</v>
      </c>
      <c r="D6">
        <v>69</v>
      </c>
    </row>
    <row r="7" spans="1:8">
      <c r="A7" t="s">
        <v>147</v>
      </c>
      <c r="B7">
        <v>66</v>
      </c>
      <c r="C7">
        <v>43</v>
      </c>
      <c r="D7">
        <v>68</v>
      </c>
    </row>
    <row r="8" spans="1:8">
      <c r="A8" t="s">
        <v>148</v>
      </c>
      <c r="B8">
        <v>43</v>
      </c>
      <c r="C8">
        <v>60</v>
      </c>
      <c r="D8">
        <v>61</v>
      </c>
    </row>
    <row r="11" spans="1:8">
      <c r="F11" t="s">
        <v>149</v>
      </c>
    </row>
    <row r="13" spans="1:8">
      <c r="D13" t="s">
        <v>38</v>
      </c>
      <c r="E13" t="s">
        <v>145</v>
      </c>
    </row>
    <row r="14" spans="1:8">
      <c r="D14" t="s">
        <v>148</v>
      </c>
      <c r="E14">
        <f>VLOOKUP(D14,A3:D8,MATCH(E13,A3:D3,0),FALSE)</f>
        <v>61</v>
      </c>
    </row>
    <row r="15" spans="1:8">
      <c r="D15" t="s">
        <v>147</v>
      </c>
      <c r="E15">
        <f>VLOOKUP(D15,A3:D8,MATCH(E13,A3:D3,0),FALSE)</f>
        <v>68</v>
      </c>
    </row>
    <row r="16" spans="1:8">
      <c r="D16" t="s">
        <v>9</v>
      </c>
      <c r="E16">
        <f>VLOOKUP(D16,A3:D8,MATCH(E13,A3:D3,0),FALSE)</f>
        <v>69</v>
      </c>
    </row>
    <row r="17" spans="1:8">
      <c r="D17" t="s">
        <v>49</v>
      </c>
      <c r="E17">
        <f>VLOOKUP(D17,A3:D8,MATCH(E13,A3:D3,0),FALSE)</f>
        <v>44</v>
      </c>
    </row>
    <row r="18" spans="1:8">
      <c r="D18" t="s">
        <v>146</v>
      </c>
      <c r="E18">
        <f>VLOOKUP(D18,A3:D8,MATCH(E13,A3:D3,0),FALSE)</f>
        <v>41</v>
      </c>
    </row>
    <row r="22" spans="1:8" ht="28.5">
      <c r="F22" s="39" t="s">
        <v>150</v>
      </c>
      <c r="G22" s="39"/>
      <c r="H22" s="39"/>
    </row>
    <row r="25" spans="1:8">
      <c r="A25" t="s">
        <v>38</v>
      </c>
      <c r="B25" t="s">
        <v>146</v>
      </c>
      <c r="C25" t="s">
        <v>49</v>
      </c>
      <c r="D25" t="s">
        <v>9</v>
      </c>
      <c r="E25" t="s">
        <v>147</v>
      </c>
      <c r="F25" t="s">
        <v>148</v>
      </c>
    </row>
    <row r="26" spans="1:8">
      <c r="A26" t="s">
        <v>143</v>
      </c>
      <c r="B26">
        <v>44</v>
      </c>
      <c r="C26">
        <v>66</v>
      </c>
      <c r="D26">
        <v>46</v>
      </c>
      <c r="E26">
        <v>66</v>
      </c>
      <c r="F26">
        <v>43</v>
      </c>
    </row>
    <row r="27" spans="1:8">
      <c r="A27" t="s">
        <v>144</v>
      </c>
      <c r="B27">
        <v>34</v>
      </c>
      <c r="C27">
        <v>48</v>
      </c>
      <c r="D27">
        <v>46</v>
      </c>
      <c r="E27">
        <v>43</v>
      </c>
      <c r="F27">
        <v>60</v>
      </c>
    </row>
    <row r="28" spans="1:8">
      <c r="A28" t="s">
        <v>145</v>
      </c>
      <c r="B28">
        <v>41</v>
      </c>
      <c r="C28">
        <v>44</v>
      </c>
      <c r="D28">
        <v>69</v>
      </c>
      <c r="E28">
        <v>68</v>
      </c>
      <c r="F28">
        <v>61</v>
      </c>
    </row>
    <row r="31" spans="1:8">
      <c r="F31" t="s">
        <v>151</v>
      </c>
    </row>
    <row r="33" spans="4:9">
      <c r="D33" t="s">
        <v>38</v>
      </c>
      <c r="E33" t="s">
        <v>146</v>
      </c>
      <c r="F33" t="s">
        <v>49</v>
      </c>
      <c r="G33" t="s">
        <v>9</v>
      </c>
      <c r="H33" t="s">
        <v>147</v>
      </c>
      <c r="I33" t="s">
        <v>148</v>
      </c>
    </row>
    <row r="34" spans="4:9">
      <c r="D34" t="s">
        <v>143</v>
      </c>
    </row>
  </sheetData>
  <mergeCells count="2">
    <mergeCell ref="F1:H1"/>
    <mergeCell ref="F22:H2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workbookViewId="0">
      <selection activeCell="J24" sqref="J24"/>
    </sheetView>
  </sheetViews>
  <sheetFormatPr defaultColWidth="9" defaultRowHeight="14.5"/>
  <cols>
    <col min="1" max="1" width="13.81640625" customWidth="1"/>
    <col min="2" max="2" width="13.453125" customWidth="1"/>
    <col min="3" max="3" width="17.08984375" customWidth="1"/>
    <col min="4" max="4" width="17" customWidth="1"/>
    <col min="5" max="5" width="5.81640625" customWidth="1"/>
    <col min="7" max="7" width="17.08984375" customWidth="1"/>
    <col min="8" max="8" width="9.6328125" customWidth="1"/>
  </cols>
  <sheetData>
    <row r="1" spans="1:5">
      <c r="A1" s="4" t="s">
        <v>152</v>
      </c>
      <c r="B1" s="4" t="s">
        <v>153</v>
      </c>
      <c r="C1" s="4" t="s">
        <v>154</v>
      </c>
      <c r="D1" s="4" t="s">
        <v>155</v>
      </c>
      <c r="E1" s="4" t="s">
        <v>156</v>
      </c>
    </row>
    <row r="2" spans="1:5">
      <c r="A2" t="s">
        <v>157</v>
      </c>
      <c r="B2" t="s">
        <v>158</v>
      </c>
      <c r="C2" t="s">
        <v>159</v>
      </c>
      <c r="D2" t="s">
        <v>160</v>
      </c>
      <c r="E2">
        <v>9607</v>
      </c>
    </row>
    <row r="3" spans="1:5">
      <c r="A3" t="s">
        <v>161</v>
      </c>
      <c r="B3" t="s">
        <v>162</v>
      </c>
      <c r="C3" t="s">
        <v>163</v>
      </c>
      <c r="D3" t="s">
        <v>164</v>
      </c>
      <c r="E3">
        <v>18432</v>
      </c>
    </row>
    <row r="4" spans="1:5">
      <c r="A4" t="s">
        <v>165</v>
      </c>
      <c r="B4" t="s">
        <v>166</v>
      </c>
      <c r="C4" t="s">
        <v>167</v>
      </c>
      <c r="D4" t="s">
        <v>168</v>
      </c>
      <c r="E4">
        <v>14835</v>
      </c>
    </row>
    <row r="5" spans="1:5">
      <c r="A5" t="s">
        <v>169</v>
      </c>
      <c r="B5" t="s">
        <v>170</v>
      </c>
      <c r="C5" t="s">
        <v>171</v>
      </c>
      <c r="D5" t="s">
        <v>172</v>
      </c>
      <c r="E5">
        <v>11468</v>
      </c>
    </row>
    <row r="6" spans="1:5">
      <c r="A6" t="s">
        <v>173</v>
      </c>
      <c r="B6" t="s">
        <v>174</v>
      </c>
      <c r="C6" t="s">
        <v>175</v>
      </c>
      <c r="D6" t="s">
        <v>176</v>
      </c>
      <c r="E6">
        <v>19016</v>
      </c>
    </row>
    <row r="7" spans="1:5">
      <c r="A7" t="s">
        <v>177</v>
      </c>
      <c r="B7" t="s">
        <v>178</v>
      </c>
      <c r="C7" t="s">
        <v>179</v>
      </c>
      <c r="D7" t="s">
        <v>180</v>
      </c>
      <c r="E7">
        <v>8030</v>
      </c>
    </row>
    <row r="8" spans="1:5">
      <c r="A8" t="s">
        <v>181</v>
      </c>
      <c r="B8" t="s">
        <v>182</v>
      </c>
      <c r="C8" t="s">
        <v>183</v>
      </c>
      <c r="D8" t="s">
        <v>184</v>
      </c>
      <c r="E8">
        <v>16505</v>
      </c>
    </row>
    <row r="9" spans="1:5">
      <c r="A9" t="s">
        <v>185</v>
      </c>
      <c r="B9" t="s">
        <v>186</v>
      </c>
      <c r="C9" t="s">
        <v>183</v>
      </c>
      <c r="D9" t="s">
        <v>187</v>
      </c>
      <c r="E9">
        <v>9781</v>
      </c>
    </row>
    <row r="10" spans="1:5">
      <c r="A10" t="s">
        <v>188</v>
      </c>
      <c r="B10" t="s">
        <v>189</v>
      </c>
      <c r="C10" t="s">
        <v>167</v>
      </c>
      <c r="D10" t="s">
        <v>176</v>
      </c>
      <c r="E10">
        <v>20284</v>
      </c>
    </row>
    <row r="11" spans="1:5">
      <c r="A11" t="s">
        <v>190</v>
      </c>
      <c r="B11" t="s">
        <v>191</v>
      </c>
      <c r="C11" t="s">
        <v>192</v>
      </c>
      <c r="D11" t="s">
        <v>193</v>
      </c>
      <c r="E11">
        <v>23213</v>
      </c>
    </row>
    <row r="12" spans="1:5">
      <c r="A12" t="s">
        <v>194</v>
      </c>
      <c r="B12" t="s">
        <v>195</v>
      </c>
      <c r="C12" t="s">
        <v>196</v>
      </c>
      <c r="D12" t="s">
        <v>168</v>
      </c>
      <c r="E12">
        <v>15008</v>
      </c>
    </row>
    <row r="13" spans="1:5">
      <c r="A13" t="s">
        <v>197</v>
      </c>
      <c r="B13" t="s">
        <v>198</v>
      </c>
      <c r="C13" t="s">
        <v>199</v>
      </c>
      <c r="D13" t="s">
        <v>176</v>
      </c>
      <c r="E13">
        <v>22996</v>
      </c>
    </row>
    <row r="21" spans="7:11">
      <c r="G21" s="4"/>
      <c r="H21" s="4"/>
      <c r="I21" s="4"/>
      <c r="J21" s="4"/>
      <c r="K21" s="4"/>
    </row>
    <row r="22" spans="7:11">
      <c r="G22" s="40" t="s">
        <v>142</v>
      </c>
      <c r="H22" s="40"/>
      <c r="I22" s="4"/>
      <c r="J22" s="4"/>
      <c r="K22" s="4"/>
    </row>
    <row r="23" spans="7:11">
      <c r="G23" s="4" t="s">
        <v>152</v>
      </c>
      <c r="H23" s="4" t="s">
        <v>200</v>
      </c>
      <c r="I23" s="4"/>
      <c r="J23" s="4"/>
      <c r="K23" s="4"/>
    </row>
    <row r="24" spans="7:11">
      <c r="G24" s="4" t="s">
        <v>153</v>
      </c>
      <c r="H24" t="str">
        <f>VLOOKUP(H23,A1:E13,MATCH(B1,A1:E1,0),FALSE)</f>
        <v>GURMAN</v>
      </c>
      <c r="I24" s="4"/>
      <c r="J24" s="4"/>
      <c r="K24" s="4"/>
    </row>
    <row r="25" spans="7:11">
      <c r="G25" s="4" t="s">
        <v>154</v>
      </c>
      <c r="H25" t="str">
        <f>VLOOKUP(H23,A1:E13,MATCH(G25,A1:E1,0),FALSE)</f>
        <v>SINGH</v>
      </c>
      <c r="I25" s="4"/>
      <c r="J25" s="4"/>
      <c r="K25" s="4"/>
    </row>
    <row r="26" spans="7:11">
      <c r="G26" s="4" t="s">
        <v>155</v>
      </c>
      <c r="H26" t="str">
        <f>VLOOKUP(H23,A1:E13,MATCH(G26,A1:E1,0),FALSE)</f>
        <v>PURCHASE</v>
      </c>
      <c r="I26" s="4"/>
      <c r="J26" s="4"/>
      <c r="K26" s="4"/>
    </row>
    <row r="27" spans="7:11">
      <c r="G27" s="4" t="s">
        <v>156</v>
      </c>
      <c r="H27">
        <f>VLOOKUP(H23,A1:E13,MATCH(G27,A1:E1,0),FALSE)</f>
        <v>9781</v>
      </c>
      <c r="I27" s="4"/>
      <c r="J27" s="4"/>
      <c r="K27" s="4"/>
    </row>
    <row r="28" spans="7:11">
      <c r="G28" s="4"/>
      <c r="H28" s="4"/>
      <c r="I28" s="4"/>
      <c r="J28" s="4"/>
      <c r="K28" s="4"/>
    </row>
    <row r="29" spans="7:11">
      <c r="G29" s="4"/>
      <c r="H29" s="4"/>
      <c r="I29" s="4"/>
      <c r="J29" s="4"/>
      <c r="K29" s="4"/>
    </row>
  </sheetData>
  <mergeCells count="1">
    <mergeCell ref="G22:H2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G17"/>
  <sheetViews>
    <sheetView workbookViewId="0">
      <selection activeCell="I13" sqref="I13"/>
    </sheetView>
  </sheetViews>
  <sheetFormatPr defaultColWidth="9" defaultRowHeight="14.5"/>
  <cols>
    <col min="5" max="5" width="14.453125" customWidth="1"/>
    <col min="6" max="6" width="10.6328125" customWidth="1"/>
  </cols>
  <sheetData>
    <row r="1" spans="5:7" ht="23.5">
      <c r="E1" s="41" t="s">
        <v>201</v>
      </c>
      <c r="F1" s="41"/>
      <c r="G1" s="11"/>
    </row>
    <row r="2" spans="5:7">
      <c r="E2" s="4" t="s">
        <v>202</v>
      </c>
      <c r="F2" s="4" t="s">
        <v>203</v>
      </c>
    </row>
    <row r="3" spans="5:7">
      <c r="E3" t="s">
        <v>204</v>
      </c>
      <c r="F3">
        <v>40000</v>
      </c>
    </row>
    <row r="4" spans="5:7">
      <c r="E4" t="s">
        <v>205</v>
      </c>
      <c r="F4">
        <v>60000</v>
      </c>
    </row>
    <row r="5" spans="5:7">
      <c r="E5" t="s">
        <v>206</v>
      </c>
      <c r="F5">
        <v>3500</v>
      </c>
    </row>
    <row r="6" spans="5:7">
      <c r="E6" t="s">
        <v>207</v>
      </c>
      <c r="F6">
        <v>20000</v>
      </c>
    </row>
    <row r="7" spans="5:7">
      <c r="E7" t="s">
        <v>208</v>
      </c>
      <c r="F7">
        <v>1500</v>
      </c>
    </row>
    <row r="8" spans="5:7">
      <c r="E8" t="s">
        <v>209</v>
      </c>
      <c r="F8">
        <v>55000</v>
      </c>
    </row>
    <row r="9" spans="5:7">
      <c r="E9" s="4" t="s">
        <v>6</v>
      </c>
      <c r="F9" s="4">
        <f>SUM(F3:F8)</f>
        <v>180000</v>
      </c>
    </row>
    <row r="11" spans="5:7">
      <c r="E11" s="4" t="s">
        <v>210</v>
      </c>
    </row>
    <row r="12" spans="5:7">
      <c r="E12" t="s">
        <v>211</v>
      </c>
      <c r="F12">
        <v>20000</v>
      </c>
    </row>
    <row r="13" spans="5:7">
      <c r="E13" t="s">
        <v>212</v>
      </c>
      <c r="F13">
        <v>54000</v>
      </c>
    </row>
    <row r="14" spans="5:7">
      <c r="E14" t="s">
        <v>213</v>
      </c>
      <c r="F14">
        <v>1500</v>
      </c>
    </row>
    <row r="15" spans="5:7">
      <c r="E15" t="s">
        <v>214</v>
      </c>
      <c r="F15">
        <v>3300</v>
      </c>
    </row>
    <row r="16" spans="5:7">
      <c r="E16" t="s">
        <v>215</v>
      </c>
      <c r="F16">
        <v>1200</v>
      </c>
    </row>
    <row r="17" spans="5:6">
      <c r="E17" s="4" t="s">
        <v>6</v>
      </c>
      <c r="F17" s="4">
        <f>SUM(F12:F16)</f>
        <v>80000</v>
      </c>
    </row>
  </sheetData>
  <mergeCells count="1">
    <mergeCell ref="E1:F1"/>
  </mergeCell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selection sqref="A1:G16"/>
    </sheetView>
  </sheetViews>
  <sheetFormatPr defaultColWidth="9" defaultRowHeight="14.5"/>
  <cols>
    <col min="1" max="1" width="10.08984375" customWidth="1"/>
    <col min="2" max="2" width="16.81640625" customWidth="1"/>
    <col min="3" max="3" width="12.7265625" customWidth="1"/>
    <col min="4" max="4" width="11.54296875" customWidth="1"/>
    <col min="5" max="5" width="6.1796875" customWidth="1"/>
    <col min="6" max="6" width="7.08984375" customWidth="1"/>
    <col min="7" max="7" width="10.6328125" customWidth="1"/>
  </cols>
  <sheetData>
    <row r="1" spans="1:7">
      <c r="A1" s="4" t="s">
        <v>109</v>
      </c>
      <c r="B1" s="4" t="s">
        <v>216</v>
      </c>
      <c r="C1" s="4" t="s">
        <v>217</v>
      </c>
      <c r="D1" s="4" t="s">
        <v>218</v>
      </c>
      <c r="E1" s="4" t="s">
        <v>92</v>
      </c>
      <c r="F1" s="4" t="s">
        <v>219</v>
      </c>
      <c r="G1" s="4" t="s">
        <v>396</v>
      </c>
    </row>
    <row r="2" spans="1:7">
      <c r="A2" s="5">
        <v>45536</v>
      </c>
      <c r="B2" t="s">
        <v>220</v>
      </c>
      <c r="C2" t="s">
        <v>160</v>
      </c>
      <c r="D2" t="s">
        <v>221</v>
      </c>
      <c r="E2">
        <v>1741</v>
      </c>
      <c r="F2">
        <v>3505</v>
      </c>
      <c r="G2">
        <f>F2*E2</f>
        <v>6102205</v>
      </c>
    </row>
    <row r="3" spans="1:7">
      <c r="A3" s="5">
        <v>45537</v>
      </c>
      <c r="B3" t="s">
        <v>222</v>
      </c>
      <c r="C3" t="s">
        <v>223</v>
      </c>
      <c r="D3" t="s">
        <v>224</v>
      </c>
      <c r="E3">
        <v>1244</v>
      </c>
      <c r="F3">
        <v>17567</v>
      </c>
      <c r="G3">
        <f t="shared" ref="G3:G16" si="0">F3*E3</f>
        <v>21853348</v>
      </c>
    </row>
    <row r="4" spans="1:7">
      <c r="A4" s="5">
        <v>45538</v>
      </c>
      <c r="B4" t="s">
        <v>225</v>
      </c>
      <c r="C4" t="s">
        <v>226</v>
      </c>
      <c r="D4" t="s">
        <v>227</v>
      </c>
      <c r="E4">
        <v>1575</v>
      </c>
      <c r="F4">
        <v>12894</v>
      </c>
      <c r="G4">
        <f t="shared" si="0"/>
        <v>20308050</v>
      </c>
    </row>
    <row r="5" spans="1:7">
      <c r="A5" s="5">
        <v>45539</v>
      </c>
      <c r="B5" t="s">
        <v>228</v>
      </c>
      <c r="C5" t="s">
        <v>229</v>
      </c>
      <c r="D5" t="s">
        <v>227</v>
      </c>
      <c r="E5">
        <v>1139</v>
      </c>
      <c r="F5">
        <v>2669</v>
      </c>
      <c r="G5">
        <f t="shared" si="0"/>
        <v>3039991</v>
      </c>
    </row>
    <row r="6" spans="1:7">
      <c r="A6" s="5">
        <v>45540</v>
      </c>
      <c r="B6" t="s">
        <v>230</v>
      </c>
      <c r="C6" t="s">
        <v>229</v>
      </c>
      <c r="D6" t="s">
        <v>224</v>
      </c>
      <c r="E6">
        <v>1386</v>
      </c>
      <c r="F6">
        <v>24576</v>
      </c>
      <c r="G6">
        <f t="shared" si="0"/>
        <v>34062336</v>
      </c>
    </row>
    <row r="7" spans="1:7">
      <c r="A7" s="5">
        <v>45541</v>
      </c>
      <c r="B7" t="s">
        <v>220</v>
      </c>
      <c r="C7" t="s">
        <v>226</v>
      </c>
      <c r="D7" t="s">
        <v>224</v>
      </c>
      <c r="E7">
        <v>1910</v>
      </c>
      <c r="F7">
        <v>11431</v>
      </c>
      <c r="G7">
        <f t="shared" si="0"/>
        <v>21833210</v>
      </c>
    </row>
    <row r="8" spans="1:7">
      <c r="A8" s="5">
        <v>45542</v>
      </c>
      <c r="B8" t="s">
        <v>228</v>
      </c>
      <c r="C8" t="s">
        <v>160</v>
      </c>
      <c r="D8" t="s">
        <v>221</v>
      </c>
      <c r="E8">
        <v>1275</v>
      </c>
      <c r="F8">
        <v>16401</v>
      </c>
      <c r="G8">
        <f t="shared" si="0"/>
        <v>20911275</v>
      </c>
    </row>
    <row r="9" spans="1:7">
      <c r="A9" s="5">
        <v>45543</v>
      </c>
      <c r="B9" t="s">
        <v>230</v>
      </c>
      <c r="C9" t="s">
        <v>231</v>
      </c>
      <c r="D9" t="s">
        <v>227</v>
      </c>
      <c r="E9">
        <v>1649</v>
      </c>
      <c r="F9">
        <v>10812</v>
      </c>
      <c r="G9">
        <f t="shared" si="0"/>
        <v>17828988</v>
      </c>
    </row>
    <row r="10" spans="1:7">
      <c r="A10" s="5">
        <v>45544</v>
      </c>
      <c r="B10" t="s">
        <v>220</v>
      </c>
      <c r="C10" t="s">
        <v>226</v>
      </c>
      <c r="D10" t="s">
        <v>221</v>
      </c>
      <c r="E10">
        <v>1974</v>
      </c>
      <c r="F10">
        <v>18835</v>
      </c>
      <c r="G10">
        <f t="shared" si="0"/>
        <v>37180290</v>
      </c>
    </row>
    <row r="11" spans="1:7">
      <c r="A11" s="5">
        <v>45545</v>
      </c>
      <c r="B11" t="s">
        <v>232</v>
      </c>
      <c r="C11" t="s">
        <v>223</v>
      </c>
      <c r="D11" t="s">
        <v>227</v>
      </c>
      <c r="E11">
        <v>1309</v>
      </c>
      <c r="F11">
        <v>15030</v>
      </c>
      <c r="G11">
        <f t="shared" si="0"/>
        <v>19674270</v>
      </c>
    </row>
    <row r="12" spans="1:7">
      <c r="A12" s="5">
        <v>45546</v>
      </c>
      <c r="B12" t="s">
        <v>228</v>
      </c>
      <c r="C12" t="s">
        <v>231</v>
      </c>
      <c r="D12" t="s">
        <v>224</v>
      </c>
      <c r="E12">
        <v>1544</v>
      </c>
      <c r="F12">
        <v>10327</v>
      </c>
      <c r="G12">
        <f t="shared" si="0"/>
        <v>15944888</v>
      </c>
    </row>
    <row r="13" spans="1:7">
      <c r="A13" s="5">
        <v>45547</v>
      </c>
      <c r="B13" t="s">
        <v>230</v>
      </c>
      <c r="C13" t="s">
        <v>229</v>
      </c>
      <c r="D13" t="s">
        <v>224</v>
      </c>
      <c r="E13">
        <v>1461</v>
      </c>
      <c r="F13">
        <v>19806</v>
      </c>
      <c r="G13">
        <f t="shared" si="0"/>
        <v>28936566</v>
      </c>
    </row>
    <row r="14" spans="1:7">
      <c r="A14" s="5">
        <v>45548</v>
      </c>
      <c r="B14" t="s">
        <v>220</v>
      </c>
      <c r="C14" t="s">
        <v>160</v>
      </c>
      <c r="D14" t="s">
        <v>221</v>
      </c>
      <c r="E14">
        <v>1119</v>
      </c>
      <c r="F14">
        <v>17360</v>
      </c>
      <c r="G14">
        <f t="shared" si="0"/>
        <v>19425840</v>
      </c>
    </row>
    <row r="15" spans="1:7">
      <c r="A15" s="5">
        <v>45549</v>
      </c>
      <c r="B15" t="s">
        <v>222</v>
      </c>
      <c r="C15" t="s">
        <v>231</v>
      </c>
      <c r="D15" t="s">
        <v>227</v>
      </c>
      <c r="E15">
        <v>1673</v>
      </c>
      <c r="F15">
        <v>9620</v>
      </c>
      <c r="G15">
        <f t="shared" si="0"/>
        <v>16094260</v>
      </c>
    </row>
    <row r="16" spans="1:7">
      <c r="A16" s="5">
        <v>45550</v>
      </c>
      <c r="B16" t="s">
        <v>222</v>
      </c>
      <c r="C16" t="s">
        <v>226</v>
      </c>
      <c r="D16" t="s">
        <v>224</v>
      </c>
      <c r="E16">
        <v>1221</v>
      </c>
      <c r="F16">
        <v>23712</v>
      </c>
      <c r="G16">
        <f t="shared" si="0"/>
        <v>28952352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6"/>
  <sheetViews>
    <sheetView workbookViewId="0">
      <selection sqref="A1:E16"/>
    </sheetView>
  </sheetViews>
  <sheetFormatPr defaultColWidth="9" defaultRowHeight="14.5"/>
  <cols>
    <col min="1" max="1" width="5.1796875" customWidth="1"/>
    <col min="2" max="2" width="9.6328125" customWidth="1"/>
    <col min="3" max="3" width="10.36328125" customWidth="1"/>
    <col min="4" max="4" width="7.36328125" customWidth="1"/>
    <col min="5" max="5" width="5.81640625" customWidth="1"/>
  </cols>
  <sheetData>
    <row r="1" spans="1:5">
      <c r="A1" s="4" t="s">
        <v>241</v>
      </c>
      <c r="B1" s="4" t="s">
        <v>242</v>
      </c>
      <c r="C1" s="4" t="s">
        <v>243</v>
      </c>
      <c r="D1" s="4" t="s">
        <v>244</v>
      </c>
      <c r="E1" s="4" t="s">
        <v>172</v>
      </c>
    </row>
    <row r="2" spans="1:5">
      <c r="A2">
        <v>1</v>
      </c>
      <c r="B2" t="s">
        <v>189</v>
      </c>
      <c r="C2" t="s">
        <v>231</v>
      </c>
      <c r="D2" t="s">
        <v>245</v>
      </c>
      <c r="E2">
        <v>37388</v>
      </c>
    </row>
    <row r="3" spans="1:5">
      <c r="A3">
        <v>2</v>
      </c>
      <c r="B3" t="s">
        <v>220</v>
      </c>
      <c r="C3" t="s">
        <v>160</v>
      </c>
      <c r="D3" t="s">
        <v>246</v>
      </c>
      <c r="E3">
        <v>28128</v>
      </c>
    </row>
    <row r="4" spans="1:5">
      <c r="A4">
        <v>3</v>
      </c>
      <c r="B4" t="s">
        <v>232</v>
      </c>
      <c r="C4" t="s">
        <v>226</v>
      </c>
      <c r="D4" t="s">
        <v>247</v>
      </c>
      <c r="E4">
        <v>35459</v>
      </c>
    </row>
    <row r="5" spans="1:5">
      <c r="A5">
        <v>4</v>
      </c>
      <c r="B5" t="s">
        <v>248</v>
      </c>
      <c r="C5" t="s">
        <v>231</v>
      </c>
      <c r="D5" t="s">
        <v>249</v>
      </c>
      <c r="E5">
        <v>23034</v>
      </c>
    </row>
    <row r="6" spans="1:5">
      <c r="A6">
        <v>5</v>
      </c>
      <c r="B6" t="s">
        <v>220</v>
      </c>
      <c r="C6" t="s">
        <v>229</v>
      </c>
      <c r="D6" t="s">
        <v>246</v>
      </c>
      <c r="E6">
        <v>47041</v>
      </c>
    </row>
    <row r="7" spans="1:5">
      <c r="A7">
        <v>6</v>
      </c>
      <c r="B7" t="s">
        <v>250</v>
      </c>
      <c r="C7" t="s">
        <v>160</v>
      </c>
      <c r="D7" t="s">
        <v>251</v>
      </c>
      <c r="E7">
        <v>37057</v>
      </c>
    </row>
    <row r="8" spans="1:5">
      <c r="A8">
        <v>7</v>
      </c>
      <c r="B8" t="s">
        <v>220</v>
      </c>
      <c r="C8" t="s">
        <v>226</v>
      </c>
      <c r="D8" t="s">
        <v>247</v>
      </c>
      <c r="E8">
        <v>23683</v>
      </c>
    </row>
    <row r="9" spans="1:5">
      <c r="A9">
        <v>8</v>
      </c>
      <c r="B9" t="s">
        <v>252</v>
      </c>
      <c r="C9" t="s">
        <v>229</v>
      </c>
      <c r="D9" t="s">
        <v>249</v>
      </c>
      <c r="E9">
        <v>43558</v>
      </c>
    </row>
    <row r="10" spans="1:5">
      <c r="A10">
        <v>9</v>
      </c>
      <c r="B10" t="s">
        <v>232</v>
      </c>
      <c r="C10" t="s">
        <v>253</v>
      </c>
      <c r="D10" t="s">
        <v>246</v>
      </c>
      <c r="E10">
        <v>29715</v>
      </c>
    </row>
    <row r="11" spans="1:5">
      <c r="A11">
        <v>10</v>
      </c>
      <c r="B11" t="s">
        <v>248</v>
      </c>
      <c r="C11" t="s">
        <v>231</v>
      </c>
      <c r="D11" t="s">
        <v>247</v>
      </c>
      <c r="E11">
        <v>43654</v>
      </c>
    </row>
    <row r="12" spans="1:5">
      <c r="A12">
        <v>11</v>
      </c>
      <c r="B12" t="s">
        <v>252</v>
      </c>
      <c r="C12" t="s">
        <v>226</v>
      </c>
      <c r="D12" t="s">
        <v>251</v>
      </c>
      <c r="E12">
        <v>44034</v>
      </c>
    </row>
    <row r="13" spans="1:5">
      <c r="A13">
        <v>12</v>
      </c>
      <c r="B13" t="s">
        <v>220</v>
      </c>
      <c r="C13" t="s">
        <v>253</v>
      </c>
      <c r="D13" t="s">
        <v>249</v>
      </c>
      <c r="E13">
        <v>38395</v>
      </c>
    </row>
    <row r="14" spans="1:5">
      <c r="A14">
        <v>13</v>
      </c>
      <c r="B14" t="s">
        <v>189</v>
      </c>
      <c r="C14" t="s">
        <v>253</v>
      </c>
      <c r="D14" t="s">
        <v>246</v>
      </c>
      <c r="E14">
        <v>25867</v>
      </c>
    </row>
    <row r="15" spans="1:5">
      <c r="A15">
        <v>14</v>
      </c>
      <c r="B15" t="s">
        <v>232</v>
      </c>
      <c r="C15" t="s">
        <v>160</v>
      </c>
      <c r="D15" t="s">
        <v>246</v>
      </c>
      <c r="E15">
        <v>52331</v>
      </c>
    </row>
    <row r="16" spans="1:5">
      <c r="A16">
        <v>15</v>
      </c>
      <c r="B16" t="s">
        <v>248</v>
      </c>
      <c r="C16" t="s">
        <v>229</v>
      </c>
      <c r="D16" t="s">
        <v>251</v>
      </c>
      <c r="E16">
        <v>24071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tabSelected="1" topLeftCell="B1" zoomScale="84" workbookViewId="0">
      <selection activeCell="K1" sqref="K1:L1"/>
    </sheetView>
  </sheetViews>
  <sheetFormatPr defaultColWidth="9" defaultRowHeight="14.5"/>
  <cols>
    <col min="1" max="1" width="16.26953125" customWidth="1"/>
    <col min="2" max="2" width="15.26953125" customWidth="1"/>
    <col min="3" max="3" width="15" customWidth="1"/>
    <col min="4" max="4" width="10.453125" customWidth="1"/>
    <col min="5" max="5" width="15" customWidth="1"/>
    <col min="6" max="6" width="10.453125" customWidth="1"/>
    <col min="7" max="7" width="15" customWidth="1"/>
    <col min="8" max="8" width="15.26953125" customWidth="1"/>
    <col min="9" max="9" width="19.81640625" customWidth="1"/>
  </cols>
  <sheetData>
    <row r="1" spans="1:12" ht="26">
      <c r="D1" s="42" t="s">
        <v>233</v>
      </c>
      <c r="E1" s="42"/>
      <c r="F1" s="42"/>
      <c r="K1" s="43" t="s">
        <v>459</v>
      </c>
      <c r="L1" s="32"/>
    </row>
    <row r="3" spans="1:12">
      <c r="B3" t="s">
        <v>234</v>
      </c>
    </row>
    <row r="4" spans="1:12">
      <c r="B4" t="s">
        <v>224</v>
      </c>
      <c r="D4" t="s">
        <v>221</v>
      </c>
      <c r="F4" t="s">
        <v>227</v>
      </c>
      <c r="H4" t="s">
        <v>235</v>
      </c>
      <c r="I4" t="s">
        <v>236</v>
      </c>
    </row>
    <row r="5" spans="1:12">
      <c r="A5" t="s">
        <v>237</v>
      </c>
      <c r="B5" t="s">
        <v>238</v>
      </c>
      <c r="C5" t="s">
        <v>239</v>
      </c>
      <c r="D5" t="s">
        <v>238</v>
      </c>
      <c r="E5" t="s">
        <v>239</v>
      </c>
      <c r="F5" t="s">
        <v>238</v>
      </c>
      <c r="G5" t="s">
        <v>239</v>
      </c>
    </row>
    <row r="6" spans="1:12">
      <c r="A6" s="8">
        <v>45536</v>
      </c>
      <c r="D6">
        <v>1741</v>
      </c>
      <c r="E6">
        <v>6102205</v>
      </c>
      <c r="H6">
        <v>1741</v>
      </c>
      <c r="I6">
        <v>6102205</v>
      </c>
    </row>
    <row r="7" spans="1:12">
      <c r="A7" s="9" t="s">
        <v>220</v>
      </c>
      <c r="D7">
        <v>1741</v>
      </c>
      <c r="E7">
        <v>6102205</v>
      </c>
      <c r="H7">
        <v>1741</v>
      </c>
      <c r="I7">
        <v>6102205</v>
      </c>
    </row>
    <row r="8" spans="1:12">
      <c r="A8" s="10" t="s">
        <v>160</v>
      </c>
      <c r="D8">
        <v>1741</v>
      </c>
      <c r="E8">
        <v>6102205</v>
      </c>
      <c r="H8">
        <v>1741</v>
      </c>
      <c r="I8">
        <v>6102205</v>
      </c>
    </row>
    <row r="9" spans="1:12">
      <c r="A9" s="8">
        <v>45537</v>
      </c>
      <c r="B9">
        <v>1244</v>
      </c>
      <c r="C9">
        <v>21853348</v>
      </c>
      <c r="H9">
        <v>1244</v>
      </c>
      <c r="I9">
        <v>21853348</v>
      </c>
    </row>
    <row r="10" spans="1:12">
      <c r="A10" s="9" t="s">
        <v>222</v>
      </c>
      <c r="B10">
        <v>1244</v>
      </c>
      <c r="C10">
        <v>21853348</v>
      </c>
      <c r="H10">
        <v>1244</v>
      </c>
      <c r="I10">
        <v>21853348</v>
      </c>
    </row>
    <row r="11" spans="1:12">
      <c r="A11" s="10" t="s">
        <v>223</v>
      </c>
      <c r="B11">
        <v>1244</v>
      </c>
      <c r="C11">
        <v>21853348</v>
      </c>
      <c r="H11">
        <v>1244</v>
      </c>
      <c r="I11">
        <v>21853348</v>
      </c>
    </row>
    <row r="12" spans="1:12">
      <c r="A12" s="8">
        <v>45538</v>
      </c>
      <c r="F12">
        <v>1575</v>
      </c>
      <c r="G12">
        <v>20308050</v>
      </c>
      <c r="H12">
        <v>1575</v>
      </c>
      <c r="I12">
        <v>20308050</v>
      </c>
    </row>
    <row r="13" spans="1:12">
      <c r="A13" s="9" t="s">
        <v>225</v>
      </c>
      <c r="F13">
        <v>1575</v>
      </c>
      <c r="G13">
        <v>20308050</v>
      </c>
      <c r="H13">
        <v>1575</v>
      </c>
      <c r="I13">
        <v>20308050</v>
      </c>
    </row>
    <row r="14" spans="1:12">
      <c r="A14" s="10" t="s">
        <v>226</v>
      </c>
      <c r="F14">
        <v>1575</v>
      </c>
      <c r="G14">
        <v>20308050</v>
      </c>
      <c r="H14">
        <v>1575</v>
      </c>
      <c r="I14">
        <v>20308050</v>
      </c>
    </row>
    <row r="15" spans="1:12">
      <c r="A15" s="8">
        <v>45539</v>
      </c>
      <c r="F15">
        <v>1139</v>
      </c>
      <c r="G15">
        <v>3039991</v>
      </c>
      <c r="H15">
        <v>1139</v>
      </c>
      <c r="I15">
        <v>3039991</v>
      </c>
    </row>
    <row r="16" spans="1:12">
      <c r="A16" s="9" t="s">
        <v>228</v>
      </c>
      <c r="F16">
        <v>1139</v>
      </c>
      <c r="G16">
        <v>3039991</v>
      </c>
      <c r="H16">
        <v>1139</v>
      </c>
      <c r="I16">
        <v>3039991</v>
      </c>
    </row>
    <row r="17" spans="1:9">
      <c r="A17" s="10" t="s">
        <v>229</v>
      </c>
      <c r="F17">
        <v>1139</v>
      </c>
      <c r="G17">
        <v>3039991</v>
      </c>
      <c r="H17">
        <v>1139</v>
      </c>
      <c r="I17">
        <v>3039991</v>
      </c>
    </row>
    <row r="18" spans="1:9">
      <c r="A18" s="8">
        <v>45540</v>
      </c>
      <c r="B18">
        <v>1386</v>
      </c>
      <c r="C18">
        <v>34062336</v>
      </c>
      <c r="H18">
        <v>1386</v>
      </c>
      <c r="I18">
        <v>34062336</v>
      </c>
    </row>
    <row r="19" spans="1:9">
      <c r="A19" s="9" t="s">
        <v>230</v>
      </c>
      <c r="B19">
        <v>1386</v>
      </c>
      <c r="C19">
        <v>34062336</v>
      </c>
      <c r="H19">
        <v>1386</v>
      </c>
      <c r="I19">
        <v>34062336</v>
      </c>
    </row>
    <row r="20" spans="1:9">
      <c r="A20" s="10" t="s">
        <v>229</v>
      </c>
      <c r="B20">
        <v>1386</v>
      </c>
      <c r="C20">
        <v>34062336</v>
      </c>
      <c r="H20">
        <v>1386</v>
      </c>
      <c r="I20">
        <v>34062336</v>
      </c>
    </row>
    <row r="21" spans="1:9">
      <c r="A21" s="8">
        <v>45541</v>
      </c>
      <c r="B21">
        <v>1910</v>
      </c>
      <c r="C21">
        <v>21833210</v>
      </c>
      <c r="H21">
        <v>1910</v>
      </c>
      <c r="I21">
        <v>21833210</v>
      </c>
    </row>
    <row r="22" spans="1:9">
      <c r="A22" s="9" t="s">
        <v>220</v>
      </c>
      <c r="B22">
        <v>1910</v>
      </c>
      <c r="C22">
        <v>21833210</v>
      </c>
      <c r="H22">
        <v>1910</v>
      </c>
      <c r="I22">
        <v>21833210</v>
      </c>
    </row>
    <row r="23" spans="1:9">
      <c r="A23" s="10" t="s">
        <v>226</v>
      </c>
      <c r="B23">
        <v>1910</v>
      </c>
      <c r="C23">
        <v>21833210</v>
      </c>
      <c r="H23">
        <v>1910</v>
      </c>
      <c r="I23">
        <v>21833210</v>
      </c>
    </row>
    <row r="24" spans="1:9">
      <c r="A24" s="8">
        <v>45542</v>
      </c>
      <c r="D24">
        <v>1275</v>
      </c>
      <c r="E24">
        <v>20911275</v>
      </c>
      <c r="H24">
        <v>1275</v>
      </c>
      <c r="I24">
        <v>20911275</v>
      </c>
    </row>
    <row r="25" spans="1:9">
      <c r="A25" s="9" t="s">
        <v>228</v>
      </c>
      <c r="D25">
        <v>1275</v>
      </c>
      <c r="E25">
        <v>20911275</v>
      </c>
      <c r="H25">
        <v>1275</v>
      </c>
      <c r="I25">
        <v>20911275</v>
      </c>
    </row>
    <row r="26" spans="1:9">
      <c r="A26" s="10" t="s">
        <v>160</v>
      </c>
      <c r="D26">
        <v>1275</v>
      </c>
      <c r="E26">
        <v>20911275</v>
      </c>
      <c r="H26">
        <v>1275</v>
      </c>
      <c r="I26">
        <v>20911275</v>
      </c>
    </row>
    <row r="27" spans="1:9">
      <c r="A27" s="8">
        <v>45543</v>
      </c>
      <c r="F27">
        <v>1649</v>
      </c>
      <c r="G27">
        <v>17828988</v>
      </c>
      <c r="H27">
        <v>1649</v>
      </c>
      <c r="I27">
        <v>17828988</v>
      </c>
    </row>
    <row r="28" spans="1:9">
      <c r="A28" s="9" t="s">
        <v>230</v>
      </c>
      <c r="F28">
        <v>1649</v>
      </c>
      <c r="G28">
        <v>17828988</v>
      </c>
      <c r="H28">
        <v>1649</v>
      </c>
      <c r="I28">
        <v>17828988</v>
      </c>
    </row>
    <row r="29" spans="1:9">
      <c r="A29" s="10" t="s">
        <v>231</v>
      </c>
      <c r="F29">
        <v>1649</v>
      </c>
      <c r="G29">
        <v>17828988</v>
      </c>
      <c r="H29">
        <v>1649</v>
      </c>
      <c r="I29">
        <v>17828988</v>
      </c>
    </row>
    <row r="30" spans="1:9">
      <c r="A30" s="8">
        <v>45544</v>
      </c>
      <c r="D30">
        <v>1974</v>
      </c>
      <c r="E30">
        <v>37180290</v>
      </c>
      <c r="H30">
        <v>1974</v>
      </c>
      <c r="I30">
        <v>37180290</v>
      </c>
    </row>
    <row r="31" spans="1:9">
      <c r="A31" s="9" t="s">
        <v>220</v>
      </c>
      <c r="D31">
        <v>1974</v>
      </c>
      <c r="E31">
        <v>37180290</v>
      </c>
      <c r="H31">
        <v>1974</v>
      </c>
      <c r="I31">
        <v>37180290</v>
      </c>
    </row>
    <row r="32" spans="1:9">
      <c r="A32" s="10" t="s">
        <v>226</v>
      </c>
      <c r="D32">
        <v>1974</v>
      </c>
      <c r="E32">
        <v>37180290</v>
      </c>
      <c r="H32">
        <v>1974</v>
      </c>
      <c r="I32">
        <v>37180290</v>
      </c>
    </row>
    <row r="33" spans="1:9">
      <c r="A33" s="8">
        <v>45545</v>
      </c>
      <c r="F33">
        <v>1309</v>
      </c>
      <c r="G33">
        <v>19674270</v>
      </c>
      <c r="H33">
        <v>1309</v>
      </c>
      <c r="I33">
        <v>19674270</v>
      </c>
    </row>
    <row r="34" spans="1:9">
      <c r="A34" s="9" t="s">
        <v>232</v>
      </c>
      <c r="F34">
        <v>1309</v>
      </c>
      <c r="G34">
        <v>19674270</v>
      </c>
      <c r="H34">
        <v>1309</v>
      </c>
      <c r="I34">
        <v>19674270</v>
      </c>
    </row>
    <row r="35" spans="1:9">
      <c r="A35" s="10" t="s">
        <v>223</v>
      </c>
      <c r="F35">
        <v>1309</v>
      </c>
      <c r="G35">
        <v>19674270</v>
      </c>
      <c r="H35">
        <v>1309</v>
      </c>
      <c r="I35">
        <v>19674270</v>
      </c>
    </row>
    <row r="36" spans="1:9">
      <c r="A36" s="8">
        <v>45546</v>
      </c>
      <c r="B36">
        <v>1544</v>
      </c>
      <c r="C36">
        <v>15944888</v>
      </c>
      <c r="H36">
        <v>1544</v>
      </c>
      <c r="I36">
        <v>15944888</v>
      </c>
    </row>
    <row r="37" spans="1:9">
      <c r="A37" s="9" t="s">
        <v>228</v>
      </c>
      <c r="B37">
        <v>1544</v>
      </c>
      <c r="C37">
        <v>15944888</v>
      </c>
      <c r="H37">
        <v>1544</v>
      </c>
      <c r="I37">
        <v>15944888</v>
      </c>
    </row>
    <row r="38" spans="1:9">
      <c r="A38" s="10" t="s">
        <v>231</v>
      </c>
      <c r="B38">
        <v>1544</v>
      </c>
      <c r="C38">
        <v>15944888</v>
      </c>
      <c r="H38">
        <v>1544</v>
      </c>
      <c r="I38">
        <v>15944888</v>
      </c>
    </row>
    <row r="39" spans="1:9">
      <c r="A39" s="8">
        <v>45547</v>
      </c>
      <c r="B39">
        <v>1461</v>
      </c>
      <c r="C39">
        <v>28936566</v>
      </c>
      <c r="H39">
        <v>1461</v>
      </c>
      <c r="I39">
        <v>28936566</v>
      </c>
    </row>
    <row r="40" spans="1:9">
      <c r="A40" s="9" t="s">
        <v>230</v>
      </c>
      <c r="B40">
        <v>1461</v>
      </c>
      <c r="C40">
        <v>28936566</v>
      </c>
      <c r="H40">
        <v>1461</v>
      </c>
      <c r="I40">
        <v>28936566</v>
      </c>
    </row>
    <row r="41" spans="1:9">
      <c r="A41" s="10" t="s">
        <v>229</v>
      </c>
      <c r="B41">
        <v>1461</v>
      </c>
      <c r="C41">
        <v>28936566</v>
      </c>
      <c r="H41">
        <v>1461</v>
      </c>
      <c r="I41">
        <v>28936566</v>
      </c>
    </row>
    <row r="42" spans="1:9">
      <c r="A42" s="8">
        <v>45548</v>
      </c>
      <c r="D42">
        <v>1119</v>
      </c>
      <c r="E42">
        <v>19425840</v>
      </c>
      <c r="H42">
        <v>1119</v>
      </c>
      <c r="I42">
        <v>19425840</v>
      </c>
    </row>
    <row r="43" spans="1:9">
      <c r="A43" s="9" t="s">
        <v>220</v>
      </c>
      <c r="D43">
        <v>1119</v>
      </c>
      <c r="E43">
        <v>19425840</v>
      </c>
      <c r="H43">
        <v>1119</v>
      </c>
      <c r="I43">
        <v>19425840</v>
      </c>
    </row>
    <row r="44" spans="1:9">
      <c r="A44" s="10" t="s">
        <v>160</v>
      </c>
      <c r="D44">
        <v>1119</v>
      </c>
      <c r="E44">
        <v>19425840</v>
      </c>
      <c r="H44">
        <v>1119</v>
      </c>
      <c r="I44">
        <v>19425840</v>
      </c>
    </row>
    <row r="45" spans="1:9">
      <c r="A45" s="8">
        <v>45549</v>
      </c>
      <c r="F45">
        <v>1673</v>
      </c>
      <c r="G45">
        <v>16094260</v>
      </c>
      <c r="H45">
        <v>1673</v>
      </c>
      <c r="I45">
        <v>16094260</v>
      </c>
    </row>
    <row r="46" spans="1:9">
      <c r="A46" s="9" t="s">
        <v>222</v>
      </c>
      <c r="F46">
        <v>1673</v>
      </c>
      <c r="G46">
        <v>16094260</v>
      </c>
      <c r="H46">
        <v>1673</v>
      </c>
      <c r="I46">
        <v>16094260</v>
      </c>
    </row>
    <row r="47" spans="1:9">
      <c r="A47" s="10" t="s">
        <v>231</v>
      </c>
      <c r="F47">
        <v>1673</v>
      </c>
      <c r="G47">
        <v>16094260</v>
      </c>
      <c r="H47">
        <v>1673</v>
      </c>
      <c r="I47">
        <v>16094260</v>
      </c>
    </row>
    <row r="48" spans="1:9">
      <c r="A48" s="8">
        <v>45550</v>
      </c>
      <c r="B48">
        <v>1221</v>
      </c>
      <c r="C48">
        <v>28952352</v>
      </c>
      <c r="H48">
        <v>1221</v>
      </c>
      <c r="I48">
        <v>28952352</v>
      </c>
    </row>
    <row r="49" spans="1:9">
      <c r="A49" s="9" t="s">
        <v>222</v>
      </c>
      <c r="B49">
        <v>1221</v>
      </c>
      <c r="C49">
        <v>28952352</v>
      </c>
      <c r="H49">
        <v>1221</v>
      </c>
      <c r="I49">
        <v>28952352</v>
      </c>
    </row>
    <row r="50" spans="1:9">
      <c r="A50" s="10" t="s">
        <v>226</v>
      </c>
      <c r="B50">
        <v>1221</v>
      </c>
      <c r="C50">
        <v>28952352</v>
      </c>
      <c r="H50">
        <v>1221</v>
      </c>
      <c r="I50">
        <v>28952352</v>
      </c>
    </row>
    <row r="51" spans="1:9">
      <c r="A51" s="8" t="s">
        <v>240</v>
      </c>
      <c r="B51">
        <v>8766</v>
      </c>
      <c r="C51">
        <v>151582700</v>
      </c>
      <c r="D51">
        <v>6109</v>
      </c>
      <c r="E51">
        <v>83619610</v>
      </c>
      <c r="F51">
        <v>7345</v>
      </c>
      <c r="G51">
        <v>76945559</v>
      </c>
      <c r="H51">
        <v>22220</v>
      </c>
      <c r="I51">
        <v>312147869</v>
      </c>
    </row>
  </sheetData>
  <mergeCells count="2">
    <mergeCell ref="D1:F1"/>
    <mergeCell ref="K1:L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workbookViewId="0">
      <selection activeCell="I2" sqref="I2"/>
    </sheetView>
  </sheetViews>
  <sheetFormatPr defaultColWidth="9" defaultRowHeight="14.5"/>
  <cols>
    <col min="1" max="1" width="12.36328125" customWidth="1"/>
    <col min="2" max="2" width="15.26953125" customWidth="1"/>
    <col min="3" max="3" width="6.81640625" customWidth="1"/>
    <col min="4" max="4" width="9.90625" customWidth="1"/>
    <col min="5" max="5" width="9.1796875" customWidth="1"/>
    <col min="6" max="6" width="7.90625" customWidth="1"/>
    <col min="7" max="7" width="10.7265625" customWidth="1"/>
    <col min="8" max="16" width="5.81640625" customWidth="1"/>
    <col min="17" max="17" width="10.7265625" customWidth="1"/>
  </cols>
  <sheetData>
    <row r="1" spans="1:7" ht="26">
      <c r="B1" s="44" t="s">
        <v>254</v>
      </c>
      <c r="C1" s="44"/>
      <c r="D1" s="44"/>
    </row>
    <row r="3" spans="1:7">
      <c r="A3" t="s">
        <v>255</v>
      </c>
      <c r="B3" t="s">
        <v>234</v>
      </c>
    </row>
    <row r="4" spans="1:7">
      <c r="A4" t="s">
        <v>237</v>
      </c>
      <c r="B4" t="s">
        <v>160</v>
      </c>
      <c r="C4" t="s">
        <v>229</v>
      </c>
      <c r="D4" t="s">
        <v>226</v>
      </c>
      <c r="E4" t="s">
        <v>253</v>
      </c>
      <c r="F4" t="s">
        <v>231</v>
      </c>
      <c r="G4" t="s">
        <v>240</v>
      </c>
    </row>
    <row r="5" spans="1:7">
      <c r="A5" s="7" t="s">
        <v>250</v>
      </c>
      <c r="B5">
        <v>37057</v>
      </c>
      <c r="G5">
        <v>37057</v>
      </c>
    </row>
    <row r="6" spans="1:7">
      <c r="A6" s="7" t="s">
        <v>232</v>
      </c>
      <c r="B6">
        <v>52331</v>
      </c>
      <c r="D6">
        <v>35459</v>
      </c>
      <c r="E6">
        <v>29715</v>
      </c>
      <c r="G6">
        <v>117505</v>
      </c>
    </row>
    <row r="7" spans="1:7">
      <c r="A7" s="7" t="s">
        <v>220</v>
      </c>
      <c r="B7">
        <v>28128</v>
      </c>
      <c r="C7">
        <v>47041</v>
      </c>
      <c r="D7">
        <v>23683</v>
      </c>
      <c r="E7">
        <v>38395</v>
      </c>
      <c r="G7">
        <v>137247</v>
      </c>
    </row>
    <row r="8" spans="1:7">
      <c r="A8" s="7" t="s">
        <v>252</v>
      </c>
      <c r="C8">
        <v>43558</v>
      </c>
      <c r="D8">
        <v>44034</v>
      </c>
      <c r="G8">
        <v>87592</v>
      </c>
    </row>
    <row r="9" spans="1:7">
      <c r="A9" s="7" t="s">
        <v>248</v>
      </c>
      <c r="C9">
        <v>24071</v>
      </c>
      <c r="F9">
        <v>66688</v>
      </c>
      <c r="G9">
        <v>90759</v>
      </c>
    </row>
    <row r="10" spans="1:7">
      <c r="A10" s="7" t="s">
        <v>189</v>
      </c>
      <c r="E10">
        <v>25867</v>
      </c>
      <c r="F10">
        <v>37388</v>
      </c>
      <c r="G10">
        <v>63255</v>
      </c>
    </row>
    <row r="11" spans="1:7">
      <c r="A11" s="7" t="s">
        <v>240</v>
      </c>
      <c r="B11">
        <v>117516</v>
      </c>
      <c r="C11">
        <v>114670</v>
      </c>
      <c r="D11">
        <v>103176</v>
      </c>
      <c r="E11">
        <v>93977</v>
      </c>
      <c r="F11">
        <v>104076</v>
      </c>
      <c r="G11">
        <v>533415</v>
      </c>
    </row>
  </sheetData>
  <mergeCells count="1">
    <mergeCell ref="B1:D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zoomScale="105" workbookViewId="0">
      <selection activeCell="F21" sqref="F21"/>
    </sheetView>
  </sheetViews>
  <sheetFormatPr defaultColWidth="9" defaultRowHeight="14.5"/>
  <cols>
    <col min="1" max="1" width="18.36328125" customWidth="1"/>
    <col min="2" max="2" width="15.36328125" customWidth="1"/>
    <col min="3" max="3" width="12.1796875" customWidth="1"/>
    <col min="4" max="6" width="12.6328125" customWidth="1"/>
  </cols>
  <sheetData>
    <row r="1" spans="1:7" ht="14.5" customHeight="1">
      <c r="A1" s="32"/>
      <c r="B1" s="45" t="s">
        <v>256</v>
      </c>
      <c r="C1" s="45"/>
      <c r="D1" s="45"/>
      <c r="E1" s="46"/>
      <c r="F1" s="46"/>
      <c r="G1" s="26"/>
    </row>
    <row r="2" spans="1:7" ht="14.5" customHeight="1">
      <c r="A2" s="32"/>
      <c r="B2" s="45"/>
      <c r="C2" s="45"/>
      <c r="D2" s="45"/>
      <c r="E2" s="46"/>
      <c r="F2" s="46"/>
      <c r="G2" s="26"/>
    </row>
    <row r="4" spans="1:7">
      <c r="A4" s="4" t="s">
        <v>257</v>
      </c>
      <c r="B4" s="4" t="s">
        <v>258</v>
      </c>
      <c r="C4" s="4" t="s">
        <v>259</v>
      </c>
      <c r="D4" s="4" t="s">
        <v>260</v>
      </c>
      <c r="E4" s="4" t="s">
        <v>261</v>
      </c>
      <c r="F4" s="4" t="s">
        <v>262</v>
      </c>
    </row>
    <row r="5" spans="1:7">
      <c r="A5" t="s">
        <v>222</v>
      </c>
      <c r="B5">
        <v>120</v>
      </c>
      <c r="C5">
        <v>74676</v>
      </c>
      <c r="D5" t="str">
        <f>IF(B5&gt;125,"33%","NO DISCOUNT")</f>
        <v>NO DISCOUNT</v>
      </c>
      <c r="E5" t="str">
        <f>IF(OR(B5&gt;120,C5&gt;99999),"33%","NO DISCOUNT")</f>
        <v>NO DISCOUNT</v>
      </c>
      <c r="F5" t="str">
        <f>IF(AND(B5&gt;115,C5&gt;99999),"33%","NO DISCOUNT")</f>
        <v>NO DISCOUNT</v>
      </c>
    </row>
    <row r="6" spans="1:7">
      <c r="A6" t="s">
        <v>263</v>
      </c>
      <c r="B6">
        <v>126</v>
      </c>
      <c r="C6">
        <v>61120</v>
      </c>
      <c r="D6" s="4" t="str">
        <f t="shared" ref="D6:D15" si="0">IF(B6&gt;125,"33%","NO DISCOUNT")</f>
        <v>33%</v>
      </c>
      <c r="E6" s="4" t="str">
        <f t="shared" ref="E6:E15" si="1">IF(OR(B6&gt;120,C6&gt;99999),"33%","NO DISCOUNT")</f>
        <v>33%</v>
      </c>
      <c r="F6" t="str">
        <f t="shared" ref="F6:F15" si="2">IF(AND(B6&gt;115,C6&gt;99999),"33%","NO DISCOUNT")</f>
        <v>NO DISCOUNT</v>
      </c>
    </row>
    <row r="7" spans="1:7">
      <c r="A7" t="s">
        <v>220</v>
      </c>
      <c r="B7">
        <v>118</v>
      </c>
      <c r="C7">
        <v>96811</v>
      </c>
      <c r="D7" t="str">
        <f t="shared" si="0"/>
        <v>NO DISCOUNT</v>
      </c>
      <c r="E7" t="str">
        <f t="shared" si="1"/>
        <v>NO DISCOUNT</v>
      </c>
      <c r="F7" t="str">
        <f t="shared" si="2"/>
        <v>NO DISCOUNT</v>
      </c>
    </row>
    <row r="8" spans="1:7">
      <c r="A8" s="27" t="s">
        <v>457</v>
      </c>
      <c r="B8">
        <v>125</v>
      </c>
      <c r="C8">
        <v>51289</v>
      </c>
      <c r="D8" t="str">
        <f t="shared" si="0"/>
        <v>NO DISCOUNT</v>
      </c>
      <c r="E8" s="4" t="str">
        <f t="shared" si="1"/>
        <v>33%</v>
      </c>
      <c r="F8" t="str">
        <f t="shared" si="2"/>
        <v>NO DISCOUNT</v>
      </c>
    </row>
    <row r="9" spans="1:7">
      <c r="A9" t="s">
        <v>264</v>
      </c>
      <c r="B9">
        <v>133</v>
      </c>
      <c r="C9">
        <v>71087</v>
      </c>
      <c r="D9" s="4" t="str">
        <f t="shared" si="0"/>
        <v>33%</v>
      </c>
      <c r="E9" s="4" t="str">
        <f t="shared" si="1"/>
        <v>33%</v>
      </c>
      <c r="F9" t="str">
        <f t="shared" si="2"/>
        <v>NO DISCOUNT</v>
      </c>
    </row>
    <row r="10" spans="1:7">
      <c r="A10" t="s">
        <v>265</v>
      </c>
      <c r="B10">
        <v>107</v>
      </c>
      <c r="C10">
        <v>99052</v>
      </c>
      <c r="D10" t="str">
        <f t="shared" si="0"/>
        <v>NO DISCOUNT</v>
      </c>
      <c r="E10" t="str">
        <f t="shared" si="1"/>
        <v>NO DISCOUNT</v>
      </c>
      <c r="F10" t="str">
        <f t="shared" si="2"/>
        <v>NO DISCOUNT</v>
      </c>
    </row>
    <row r="11" spans="1:7">
      <c r="A11" t="s">
        <v>266</v>
      </c>
      <c r="B11">
        <v>143</v>
      </c>
      <c r="C11">
        <v>109570</v>
      </c>
      <c r="D11" s="4" t="str">
        <f t="shared" si="0"/>
        <v>33%</v>
      </c>
      <c r="E11" s="4" t="str">
        <f t="shared" si="1"/>
        <v>33%</v>
      </c>
      <c r="F11" s="4" t="str">
        <f t="shared" si="2"/>
        <v>33%</v>
      </c>
    </row>
    <row r="12" spans="1:7">
      <c r="A12" t="s">
        <v>198</v>
      </c>
      <c r="B12">
        <v>106</v>
      </c>
      <c r="C12">
        <v>75935</v>
      </c>
      <c r="D12" t="str">
        <f t="shared" si="0"/>
        <v>NO DISCOUNT</v>
      </c>
      <c r="E12" t="str">
        <f t="shared" si="1"/>
        <v>NO DISCOUNT</v>
      </c>
      <c r="F12" t="str">
        <f t="shared" si="2"/>
        <v>NO DISCOUNT</v>
      </c>
    </row>
    <row r="13" spans="1:7">
      <c r="A13" t="s">
        <v>230</v>
      </c>
      <c r="B13">
        <v>150</v>
      </c>
      <c r="C13">
        <v>66146</v>
      </c>
      <c r="D13" s="4" t="str">
        <f t="shared" si="0"/>
        <v>33%</v>
      </c>
      <c r="E13" s="4" t="str">
        <f t="shared" si="1"/>
        <v>33%</v>
      </c>
      <c r="F13" t="str">
        <f t="shared" si="2"/>
        <v>NO DISCOUNT</v>
      </c>
    </row>
    <row r="14" spans="1:7">
      <c r="A14" t="s">
        <v>267</v>
      </c>
      <c r="B14">
        <v>123</v>
      </c>
      <c r="C14">
        <v>80615</v>
      </c>
      <c r="D14" t="str">
        <f t="shared" si="0"/>
        <v>NO DISCOUNT</v>
      </c>
      <c r="E14" s="4" t="str">
        <f t="shared" si="1"/>
        <v>33%</v>
      </c>
      <c r="F14" t="str">
        <f t="shared" si="2"/>
        <v>NO DISCOUNT</v>
      </c>
    </row>
    <row r="15" spans="1:7">
      <c r="A15" t="s">
        <v>268</v>
      </c>
      <c r="B15">
        <v>147</v>
      </c>
      <c r="C15">
        <v>91603</v>
      </c>
      <c r="D15" s="4" t="str">
        <f t="shared" si="0"/>
        <v>33%</v>
      </c>
      <c r="E15" s="4" t="str">
        <f t="shared" si="1"/>
        <v>33%</v>
      </c>
      <c r="F15" t="str">
        <f t="shared" si="2"/>
        <v>NO DISCOUNT</v>
      </c>
    </row>
  </sheetData>
  <mergeCells count="3">
    <mergeCell ref="B1:D2"/>
    <mergeCell ref="A1:A2"/>
    <mergeCell ref="E1:F2"/>
  </mergeCell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workbookViewId="0">
      <selection activeCell="J16" sqref="J16"/>
    </sheetView>
  </sheetViews>
  <sheetFormatPr defaultColWidth="9" defaultRowHeight="14.5"/>
  <cols>
    <col min="1" max="1" width="13.54296875" customWidth="1"/>
    <col min="2" max="2" width="6.453125" customWidth="1"/>
    <col min="3" max="3" width="10.90625" customWidth="1"/>
    <col min="4" max="4" width="8.81640625" customWidth="1"/>
    <col min="5" max="5" width="9.08984375" customWidth="1"/>
    <col min="8" max="8" width="9.1796875" customWidth="1"/>
    <col min="9" max="9" width="6.453125" customWidth="1"/>
    <col min="10" max="10" width="10.90625" customWidth="1"/>
    <col min="11" max="12" width="8.453125" customWidth="1"/>
    <col min="13" max="13" width="8.36328125" customWidth="1"/>
    <col min="14" max="14" width="12.26953125" customWidth="1"/>
    <col min="15" max="15" width="10.36328125" customWidth="1"/>
    <col min="16" max="16" width="8.26953125" customWidth="1"/>
  </cols>
  <sheetData>
    <row r="1" spans="1:16">
      <c r="E1" s="45" t="s">
        <v>269</v>
      </c>
      <c r="F1" s="45"/>
      <c r="G1" s="45"/>
    </row>
    <row r="2" spans="1:16">
      <c r="E2" s="45"/>
      <c r="F2" s="45"/>
      <c r="G2" s="45"/>
    </row>
    <row r="4" spans="1:16">
      <c r="A4" t="s">
        <v>270</v>
      </c>
      <c r="B4" t="s">
        <v>92</v>
      </c>
      <c r="C4" t="s">
        <v>203</v>
      </c>
      <c r="D4" t="s">
        <v>6</v>
      </c>
      <c r="E4" t="s">
        <v>271</v>
      </c>
      <c r="H4" t="s">
        <v>270</v>
      </c>
      <c r="I4" t="s">
        <v>92</v>
      </c>
      <c r="J4" t="s">
        <v>203</v>
      </c>
      <c r="K4" t="s">
        <v>6</v>
      </c>
      <c r="L4" t="s">
        <v>272</v>
      </c>
      <c r="M4" t="s">
        <v>273</v>
      </c>
      <c r="N4" t="s">
        <v>274</v>
      </c>
      <c r="O4" t="s">
        <v>275</v>
      </c>
      <c r="P4" t="s">
        <v>276</v>
      </c>
    </row>
    <row r="5" spans="1:16">
      <c r="A5" t="s">
        <v>231</v>
      </c>
      <c r="B5">
        <v>151</v>
      </c>
      <c r="C5">
        <v>78348</v>
      </c>
      <c r="D5">
        <f>C5*B5</f>
        <v>11830548</v>
      </c>
      <c r="E5">
        <v>32629</v>
      </c>
      <c r="H5" t="s">
        <v>253</v>
      </c>
      <c r="I5" t="s">
        <v>277</v>
      </c>
      <c r="J5" t="s">
        <v>278</v>
      </c>
      <c r="L5">
        <f>DMIN(Table6[#All],Table6[[#Headers],[PROFIT]],H4:I5)</f>
        <v>43082</v>
      </c>
      <c r="M5">
        <f>DMAX(Table6[#All],Table6[[#Headers],[PROFIT]],H4:I5)</f>
        <v>82498</v>
      </c>
      <c r="N5">
        <f>DAVERAGE(Table6[#All],Table6[[#Headers],[PROFIT]],H4:I5)</f>
        <v>58065.333333333299</v>
      </c>
      <c r="O5">
        <f>DCOUNT(Table6[#All],Table6[[#Headers],[PROFIT]],H4:I5)</f>
        <v>3</v>
      </c>
      <c r="P5">
        <f>DSUM(Table6[#All],Table6[[#Headers],[PROFIT]],H4:I5)</f>
        <v>174196</v>
      </c>
    </row>
    <row r="6" spans="1:16">
      <c r="A6" t="s">
        <v>253</v>
      </c>
      <c r="B6">
        <v>190</v>
      </c>
      <c r="C6">
        <v>111718</v>
      </c>
      <c r="D6">
        <f t="shared" ref="D6:D20" si="0">C6*B6</f>
        <v>21226420</v>
      </c>
      <c r="E6">
        <v>82498</v>
      </c>
    </row>
    <row r="7" spans="1:16">
      <c r="A7" t="s">
        <v>279</v>
      </c>
      <c r="B7">
        <v>103</v>
      </c>
      <c r="C7">
        <v>105692</v>
      </c>
      <c r="D7">
        <f t="shared" si="0"/>
        <v>10886276</v>
      </c>
      <c r="E7">
        <v>35160</v>
      </c>
    </row>
    <row r="8" spans="1:16">
      <c r="A8" t="s">
        <v>160</v>
      </c>
      <c r="B8">
        <v>115</v>
      </c>
      <c r="C8">
        <v>119199</v>
      </c>
      <c r="D8">
        <f t="shared" si="0"/>
        <v>13707885</v>
      </c>
      <c r="E8">
        <v>45582</v>
      </c>
    </row>
    <row r="9" spans="1:16">
      <c r="A9" t="s">
        <v>253</v>
      </c>
      <c r="B9">
        <v>186</v>
      </c>
      <c r="C9">
        <v>75799</v>
      </c>
      <c r="D9">
        <f t="shared" si="0"/>
        <v>14098614</v>
      </c>
      <c r="E9">
        <v>48616</v>
      </c>
    </row>
    <row r="10" spans="1:16">
      <c r="A10" t="s">
        <v>231</v>
      </c>
      <c r="B10">
        <v>143</v>
      </c>
      <c r="C10">
        <v>94330</v>
      </c>
      <c r="D10">
        <f t="shared" si="0"/>
        <v>13489190</v>
      </c>
      <c r="E10">
        <v>74885</v>
      </c>
    </row>
    <row r="11" spans="1:16">
      <c r="A11" t="s">
        <v>279</v>
      </c>
      <c r="B11">
        <v>172</v>
      </c>
      <c r="C11">
        <v>96565</v>
      </c>
      <c r="D11">
        <f t="shared" si="0"/>
        <v>16609180</v>
      </c>
      <c r="E11">
        <v>85439</v>
      </c>
    </row>
    <row r="12" spans="1:16">
      <c r="A12" t="s">
        <v>231</v>
      </c>
      <c r="B12">
        <v>115</v>
      </c>
      <c r="C12">
        <v>72287</v>
      </c>
      <c r="D12">
        <f t="shared" si="0"/>
        <v>8313005</v>
      </c>
      <c r="E12">
        <v>71138</v>
      </c>
    </row>
    <row r="13" spans="1:16">
      <c r="A13" t="s">
        <v>231</v>
      </c>
      <c r="B13">
        <v>168</v>
      </c>
      <c r="C13">
        <v>94960</v>
      </c>
      <c r="D13">
        <f t="shared" si="0"/>
        <v>15953280</v>
      </c>
      <c r="E13">
        <v>39276</v>
      </c>
    </row>
    <row r="14" spans="1:16">
      <c r="A14" t="s">
        <v>253</v>
      </c>
      <c r="B14">
        <v>113</v>
      </c>
      <c r="C14">
        <v>79311</v>
      </c>
      <c r="D14">
        <f t="shared" si="0"/>
        <v>8962143</v>
      </c>
      <c r="E14">
        <v>44743</v>
      </c>
    </row>
    <row r="15" spans="1:16">
      <c r="A15" t="s">
        <v>160</v>
      </c>
      <c r="B15">
        <v>145</v>
      </c>
      <c r="C15">
        <v>118653</v>
      </c>
      <c r="D15">
        <f t="shared" si="0"/>
        <v>17204685</v>
      </c>
      <c r="E15">
        <v>86996</v>
      </c>
    </row>
    <row r="16" spans="1:16">
      <c r="A16" t="s">
        <v>279</v>
      </c>
      <c r="B16">
        <v>195</v>
      </c>
      <c r="C16">
        <v>109892</v>
      </c>
      <c r="D16">
        <f t="shared" si="0"/>
        <v>21428940</v>
      </c>
      <c r="E16">
        <v>49951</v>
      </c>
    </row>
    <row r="17" spans="1:5">
      <c r="A17" t="s">
        <v>160</v>
      </c>
      <c r="B17">
        <v>117</v>
      </c>
      <c r="C17">
        <v>100042</v>
      </c>
      <c r="D17">
        <f t="shared" si="0"/>
        <v>11704914</v>
      </c>
      <c r="E17">
        <v>59579</v>
      </c>
    </row>
    <row r="18" spans="1:5">
      <c r="A18" t="s">
        <v>253</v>
      </c>
      <c r="B18">
        <v>181</v>
      </c>
      <c r="C18">
        <v>112313</v>
      </c>
      <c r="D18">
        <f t="shared" si="0"/>
        <v>20328653</v>
      </c>
      <c r="E18">
        <v>43082</v>
      </c>
    </row>
    <row r="19" spans="1:5">
      <c r="A19" t="s">
        <v>160</v>
      </c>
      <c r="B19">
        <v>198</v>
      </c>
      <c r="C19">
        <v>83891</v>
      </c>
      <c r="D19">
        <f t="shared" si="0"/>
        <v>16610418</v>
      </c>
      <c r="E19">
        <v>77843</v>
      </c>
    </row>
    <row r="20" spans="1:5">
      <c r="A20" t="s">
        <v>231</v>
      </c>
      <c r="B20">
        <v>158</v>
      </c>
      <c r="C20">
        <v>93114</v>
      </c>
      <c r="D20">
        <f t="shared" si="0"/>
        <v>14712012</v>
      </c>
      <c r="E20">
        <v>51010</v>
      </c>
    </row>
  </sheetData>
  <mergeCells count="1">
    <mergeCell ref="E1:G2"/>
  </mergeCell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topLeftCell="A2" zoomScale="62" zoomScaleNormal="87" workbookViewId="0">
      <selection activeCell="Q4" sqref="Q4"/>
    </sheetView>
  </sheetViews>
  <sheetFormatPr defaultColWidth="9" defaultRowHeight="14.5"/>
  <cols>
    <col min="1" max="1" width="18.26953125" customWidth="1"/>
    <col min="2" max="2" width="15.36328125" customWidth="1"/>
    <col min="3" max="6" width="8.26953125" customWidth="1"/>
    <col min="7" max="7" width="17.6328125" customWidth="1"/>
    <col min="8" max="8" width="19.08984375" customWidth="1"/>
    <col min="9" max="9" width="14.36328125" customWidth="1"/>
    <col min="10" max="10" width="22.90625" customWidth="1"/>
    <col min="11" max="11" width="11.81640625" customWidth="1"/>
    <col min="12" max="12" width="18.81640625" customWidth="1"/>
    <col min="13" max="13" width="12.7265625" customWidth="1"/>
    <col min="14" max="14" width="19.26953125" customWidth="1"/>
    <col min="15" max="15" width="16.6328125" customWidth="1"/>
    <col min="16" max="16" width="14.1796875" customWidth="1"/>
    <col min="17" max="17" width="13.6328125" customWidth="1"/>
  </cols>
  <sheetData>
    <row r="1" spans="1:17" ht="28.5">
      <c r="H1" s="45" t="s">
        <v>280</v>
      </c>
      <c r="I1" s="47"/>
    </row>
    <row r="3" spans="1:17">
      <c r="A3" t="s">
        <v>281</v>
      </c>
      <c r="B3" t="s">
        <v>282</v>
      </c>
      <c r="C3" t="s">
        <v>283</v>
      </c>
      <c r="D3" t="s">
        <v>284</v>
      </c>
      <c r="E3" t="s">
        <v>285</v>
      </c>
      <c r="F3" t="s">
        <v>286</v>
      </c>
      <c r="G3" t="s">
        <v>287</v>
      </c>
      <c r="H3" t="s">
        <v>288</v>
      </c>
      <c r="I3" t="s">
        <v>289</v>
      </c>
      <c r="J3" t="s">
        <v>290</v>
      </c>
      <c r="K3" t="s">
        <v>291</v>
      </c>
      <c r="L3" t="s">
        <v>292</v>
      </c>
      <c r="M3" t="s">
        <v>293</v>
      </c>
      <c r="N3" t="s">
        <v>294</v>
      </c>
      <c r="O3" t="s">
        <v>295</v>
      </c>
      <c r="P3" t="s">
        <v>296</v>
      </c>
      <c r="Q3" t="s">
        <v>297</v>
      </c>
    </row>
    <row r="4" spans="1:17">
      <c r="A4" t="s">
        <v>222</v>
      </c>
      <c r="B4">
        <v>71547</v>
      </c>
      <c r="C4">
        <f>Table8[[#This Row],[BASIC SALARY]]*6%</f>
        <v>4292.82</v>
      </c>
      <c r="D4">
        <f>Table8[[#This Row],[BASIC SALARY]]*7%</f>
        <v>5008.29</v>
      </c>
      <c r="E4">
        <f>Table8[[#This Row],[BASIC SALARY]]*4%</f>
        <v>2861.88</v>
      </c>
      <c r="F4">
        <f>Table8[[#This Row],[BASIC SALARY]]*9%</f>
        <v>6439.23</v>
      </c>
      <c r="G4">
        <f>Table8[[#This Row],[BASIC SALARY]]/30</f>
        <v>2384.9</v>
      </c>
      <c r="H4">
        <f>Table8[[#This Row],[BASIC SALARY]]/8</f>
        <v>8943.375</v>
      </c>
      <c r="I4">
        <v>2</v>
      </c>
      <c r="J4">
        <f>Table8[[#This Row],[PER DAY SALARY]]*Table8[[#This Row],[TOTAL LEAVE]]</f>
        <v>4769.8</v>
      </c>
      <c r="K4">
        <v>1</v>
      </c>
      <c r="L4">
        <f>Table8[[#This Row],[PER DAY SALARY]]/2*Table8[[#This Row],[HALF DAY]]</f>
        <v>1192.45</v>
      </c>
      <c r="M4">
        <v>3</v>
      </c>
      <c r="N4">
        <f>Table8[[#This Row],[PER HOUR SALARY]]*Table8[[#This Row],[OVER TIME]]</f>
        <v>26830.125</v>
      </c>
      <c r="O4">
        <f>(Table8[[#This Row],[BASIC SALARY]]+Table8[[#This Row],[HRA]]+Table8[[#This Row],[DA]]+Table8[[#This Row],[TA]])-Table8[[#This Row],[PF]]</f>
        <v>77270.759999999995</v>
      </c>
      <c r="P4">
        <f>Table8[[#This Row],[GROSS  SALARY]]*2%</f>
        <v>1545.4151999999999</v>
      </c>
      <c r="Q4">
        <f>Table8[[#This Row],[GROSS  SALARY]]-Table8[[#This Row],[INCOME TAX]]</f>
        <v>75725.344800000006</v>
      </c>
    </row>
    <row r="5" spans="1:17">
      <c r="A5" t="s">
        <v>298</v>
      </c>
      <c r="B5">
        <v>78832</v>
      </c>
      <c r="C5">
        <f>Table8[[#This Row],[BASIC SALARY]]*6%</f>
        <v>4729.92</v>
      </c>
      <c r="D5">
        <f>Table8[[#This Row],[BASIC SALARY]]*7%</f>
        <v>5518.24</v>
      </c>
      <c r="E5">
        <f>Table8[[#This Row],[BASIC SALARY]]*4%</f>
        <v>3153.28</v>
      </c>
      <c r="F5">
        <f>Table8[[#This Row],[BASIC SALARY]]*9%</f>
        <v>7094.88</v>
      </c>
      <c r="G5">
        <f>Table8[[#This Row],[BASIC SALARY]]/30</f>
        <v>2627.7333333333299</v>
      </c>
      <c r="H5">
        <f>Table8[[#This Row],[BASIC SALARY]]/8</f>
        <v>9854</v>
      </c>
      <c r="I5">
        <v>0</v>
      </c>
      <c r="J5">
        <f>Table8[[#This Row],[PER DAY SALARY]]*Table8[[#This Row],[TOTAL LEAVE]]</f>
        <v>0</v>
      </c>
      <c r="K5">
        <v>1</v>
      </c>
      <c r="L5">
        <f>Table8[[#This Row],[PER DAY SALARY]]/2*Table8[[#This Row],[HALF DAY]]</f>
        <v>1313.866666666665</v>
      </c>
      <c r="M5">
        <v>4</v>
      </c>
      <c r="N5">
        <f>Table8[[#This Row],[PER HOUR SALARY]]*Table8[[#This Row],[OVER TIME]]</f>
        <v>39416</v>
      </c>
      <c r="O5">
        <f>(Table8[[#This Row],[BASIC SALARY]]+Table8[[#This Row],[HRA]]+Table8[[#This Row],[DA]]+Table8[[#This Row],[TA]])-Table8[[#This Row],[PF]]</f>
        <v>85138.559999999998</v>
      </c>
      <c r="P5">
        <f>Table8[[#This Row],[GROSS  SALARY]]*2%</f>
        <v>1702.7711999999999</v>
      </c>
      <c r="Q5">
        <f>Table8[[#This Row],[GROSS  SALARY]]-Table8[[#This Row],[INCOME TAX]]</f>
        <v>83435.788799999995</v>
      </c>
    </row>
    <row r="6" spans="1:17">
      <c r="A6" t="s">
        <v>220</v>
      </c>
      <c r="B6">
        <v>54643</v>
      </c>
      <c r="C6">
        <f>Table8[[#This Row],[BASIC SALARY]]*6%</f>
        <v>3278.58</v>
      </c>
      <c r="D6">
        <f>Table8[[#This Row],[BASIC SALARY]]*7%</f>
        <v>3825.01</v>
      </c>
      <c r="E6">
        <f>Table8[[#This Row],[BASIC SALARY]]*4%</f>
        <v>2185.7199999999998</v>
      </c>
      <c r="F6">
        <f>Table8[[#This Row],[BASIC SALARY]]*9%</f>
        <v>4917.87</v>
      </c>
      <c r="G6">
        <f>Table8[[#This Row],[BASIC SALARY]]/30</f>
        <v>1821.43333333333</v>
      </c>
      <c r="H6">
        <f>Table8[[#This Row],[BASIC SALARY]]/8</f>
        <v>6830.375</v>
      </c>
      <c r="I6">
        <v>0</v>
      </c>
      <c r="J6">
        <f>Table8[[#This Row],[PER DAY SALARY]]*Table8[[#This Row],[TOTAL LEAVE]]</f>
        <v>0</v>
      </c>
      <c r="K6">
        <v>2</v>
      </c>
      <c r="L6">
        <f>Table8[[#This Row],[PER DAY SALARY]]/2*Table8[[#This Row],[HALF DAY]]</f>
        <v>1821.43333333333</v>
      </c>
      <c r="M6">
        <v>2</v>
      </c>
      <c r="N6">
        <f>Table8[[#This Row],[PER HOUR SALARY]]*Table8[[#This Row],[OVER TIME]]</f>
        <v>13660.75</v>
      </c>
      <c r="O6">
        <f>(Table8[[#This Row],[BASIC SALARY]]+Table8[[#This Row],[HRA]]+Table8[[#This Row],[DA]]+Table8[[#This Row],[TA]])-Table8[[#This Row],[PF]]</f>
        <v>59014.44</v>
      </c>
      <c r="P6">
        <f>Table8[[#This Row],[GROSS  SALARY]]*2%</f>
        <v>1180.2888</v>
      </c>
      <c r="Q6">
        <f>Table8[[#This Row],[GROSS  SALARY]]-Table8[[#This Row],[INCOME TAX]]</f>
        <v>57834.1512</v>
      </c>
    </row>
    <row r="7" spans="1:17">
      <c r="A7" t="s">
        <v>299</v>
      </c>
      <c r="B7">
        <v>62038</v>
      </c>
      <c r="C7">
        <f>Table8[[#This Row],[BASIC SALARY]]*6%</f>
        <v>3722.28</v>
      </c>
      <c r="D7">
        <f>Table8[[#This Row],[BASIC SALARY]]*7%</f>
        <v>4342.66</v>
      </c>
      <c r="E7">
        <f>Table8[[#This Row],[BASIC SALARY]]*4%</f>
        <v>2481.52</v>
      </c>
      <c r="F7">
        <f>Table8[[#This Row],[BASIC SALARY]]*9%</f>
        <v>5583.42</v>
      </c>
      <c r="G7">
        <f>Table8[[#This Row],[BASIC SALARY]]/30</f>
        <v>2067.9333333333302</v>
      </c>
      <c r="H7">
        <f>Table8[[#This Row],[BASIC SALARY]]/8</f>
        <v>7754.75</v>
      </c>
      <c r="I7">
        <v>0</v>
      </c>
      <c r="J7">
        <f>Table8[[#This Row],[PER DAY SALARY]]*Table8[[#This Row],[TOTAL LEAVE]]</f>
        <v>0</v>
      </c>
      <c r="K7">
        <v>1</v>
      </c>
      <c r="L7">
        <f>Table8[[#This Row],[PER DAY SALARY]]/2*Table8[[#This Row],[HALF DAY]]</f>
        <v>1033.9666666666651</v>
      </c>
      <c r="M7">
        <v>2</v>
      </c>
      <c r="N7">
        <f>Table8[[#This Row],[PER HOUR SALARY]]*Table8[[#This Row],[OVER TIME]]</f>
        <v>15509.5</v>
      </c>
      <c r="O7">
        <f>(Table8[[#This Row],[BASIC SALARY]]+Table8[[#This Row],[HRA]]+Table8[[#This Row],[DA]]+Table8[[#This Row],[TA]])-Table8[[#This Row],[PF]]</f>
        <v>67001.039999999994</v>
      </c>
      <c r="P7">
        <f>Table8[[#This Row],[GROSS  SALARY]]*2%</f>
        <v>1340.0208</v>
      </c>
      <c r="Q7">
        <f>Table8[[#This Row],[GROSS  SALARY]]-Table8[[#This Row],[INCOME TAX]]</f>
        <v>65661.019199999995</v>
      </c>
    </row>
    <row r="8" spans="1:17">
      <c r="A8" t="s">
        <v>232</v>
      </c>
      <c r="B8">
        <v>70336</v>
      </c>
      <c r="C8">
        <f>Table8[[#This Row],[BASIC SALARY]]*6%</f>
        <v>4220.16</v>
      </c>
      <c r="D8">
        <f>Table8[[#This Row],[BASIC SALARY]]*7%</f>
        <v>4923.5200000000004</v>
      </c>
      <c r="E8">
        <f>Table8[[#This Row],[BASIC SALARY]]*4%</f>
        <v>2813.44</v>
      </c>
      <c r="F8">
        <f>Table8[[#This Row],[BASIC SALARY]]*9%</f>
        <v>6330.24</v>
      </c>
      <c r="G8">
        <f>Table8[[#This Row],[BASIC SALARY]]/30</f>
        <v>2344.5333333333301</v>
      </c>
      <c r="H8">
        <f>Table8[[#This Row],[BASIC SALARY]]/8</f>
        <v>8792</v>
      </c>
      <c r="I8">
        <v>1</v>
      </c>
      <c r="J8">
        <f>Table8[[#This Row],[PER DAY SALARY]]*Table8[[#This Row],[TOTAL LEAVE]]</f>
        <v>2344.5333333333301</v>
      </c>
      <c r="K8">
        <v>3</v>
      </c>
      <c r="L8">
        <f>Table8[[#This Row],[PER DAY SALARY]]/2*Table8[[#This Row],[HALF DAY]]</f>
        <v>3516.7999999999952</v>
      </c>
      <c r="M8">
        <v>5</v>
      </c>
      <c r="N8">
        <f>Table8[[#This Row],[PER HOUR SALARY]]*Table8[[#This Row],[OVER TIME]]</f>
        <v>43960</v>
      </c>
      <c r="O8">
        <f>(Table8[[#This Row],[BASIC SALARY]]+Table8[[#This Row],[HRA]]+Table8[[#This Row],[DA]]+Table8[[#This Row],[TA]])-Table8[[#This Row],[PF]]</f>
        <v>75962.880000000005</v>
      </c>
      <c r="P8">
        <f>Table8[[#This Row],[GROSS  SALARY]]*2%</f>
        <v>1519.2575999999999</v>
      </c>
      <c r="Q8">
        <f>Table8[[#This Row],[GROSS  SALARY]]-Table8[[#This Row],[INCOME TAX]]</f>
        <v>74443.622399999993</v>
      </c>
    </row>
    <row r="9" spans="1:17">
      <c r="A9" t="s">
        <v>300</v>
      </c>
      <c r="B9">
        <v>78147</v>
      </c>
      <c r="C9">
        <f>Table8[[#This Row],[BASIC SALARY]]*6%</f>
        <v>4688.82</v>
      </c>
      <c r="D9">
        <f>Table8[[#This Row],[BASIC SALARY]]*7%</f>
        <v>5470.29</v>
      </c>
      <c r="E9">
        <f>Table8[[#This Row],[BASIC SALARY]]*4%</f>
        <v>3125.88</v>
      </c>
      <c r="F9">
        <f>Table8[[#This Row],[BASIC SALARY]]*9%</f>
        <v>7033.23</v>
      </c>
      <c r="G9">
        <f>Table8[[#This Row],[BASIC SALARY]]/30</f>
        <v>2604.9</v>
      </c>
      <c r="H9">
        <f>Table8[[#This Row],[BASIC SALARY]]/8</f>
        <v>9768.375</v>
      </c>
      <c r="I9">
        <v>1</v>
      </c>
      <c r="J9">
        <f>Table8[[#This Row],[PER DAY SALARY]]*Table8[[#This Row],[TOTAL LEAVE]]</f>
        <v>2604.9</v>
      </c>
      <c r="K9">
        <v>1</v>
      </c>
      <c r="L9">
        <f>Table8[[#This Row],[PER DAY SALARY]]/2*Table8[[#This Row],[HALF DAY]]</f>
        <v>1302.45</v>
      </c>
      <c r="M9">
        <v>3</v>
      </c>
      <c r="N9">
        <f>Table8[[#This Row],[PER HOUR SALARY]]*Table8[[#This Row],[OVER TIME]]</f>
        <v>29305.125</v>
      </c>
      <c r="O9">
        <f>(Table8[[#This Row],[BASIC SALARY]]+Table8[[#This Row],[HRA]]+Table8[[#This Row],[DA]]+Table8[[#This Row],[TA]])-Table8[[#This Row],[PF]]</f>
        <v>84398.76</v>
      </c>
      <c r="P9">
        <f>Table8[[#This Row],[GROSS  SALARY]]*2%</f>
        <v>1687.9752000000001</v>
      </c>
      <c r="Q9">
        <f>Table8[[#This Row],[GROSS  SALARY]]-Table8[[#This Row],[INCOME TAX]]</f>
        <v>82710.784799999994</v>
      </c>
    </row>
    <row r="10" spans="1:17">
      <c r="A10" t="s">
        <v>263</v>
      </c>
      <c r="B10">
        <v>75074</v>
      </c>
      <c r="C10">
        <f>Table8[[#This Row],[BASIC SALARY]]*6%</f>
        <v>4504.4399999999996</v>
      </c>
      <c r="D10">
        <f>Table8[[#This Row],[BASIC SALARY]]*7%</f>
        <v>5255.18</v>
      </c>
      <c r="E10">
        <f>Table8[[#This Row],[BASIC SALARY]]*4%</f>
        <v>3002.96</v>
      </c>
      <c r="F10">
        <f>Table8[[#This Row],[BASIC SALARY]]*9%</f>
        <v>6756.66</v>
      </c>
      <c r="G10">
        <f>Table8[[#This Row],[BASIC SALARY]]/30</f>
        <v>2502.4666666666699</v>
      </c>
      <c r="H10">
        <f>Table8[[#This Row],[BASIC SALARY]]/8</f>
        <v>9384.25</v>
      </c>
      <c r="I10">
        <v>3</v>
      </c>
      <c r="J10">
        <f>Table8[[#This Row],[PER DAY SALARY]]*Table8[[#This Row],[TOTAL LEAVE]]</f>
        <v>7507.4</v>
      </c>
      <c r="K10">
        <v>1</v>
      </c>
      <c r="L10">
        <f>Table8[[#This Row],[PER DAY SALARY]]/2*Table8[[#This Row],[HALF DAY]]</f>
        <v>1251.2333333333349</v>
      </c>
      <c r="M10">
        <v>1</v>
      </c>
      <c r="N10">
        <f>Table8[[#This Row],[PER HOUR SALARY]]*Table8[[#This Row],[OVER TIME]]</f>
        <v>9384.25</v>
      </c>
      <c r="O10">
        <f>(Table8[[#This Row],[BASIC SALARY]]+Table8[[#This Row],[HRA]]+Table8[[#This Row],[DA]]+Table8[[#This Row],[TA]])-Table8[[#This Row],[PF]]</f>
        <v>81079.92</v>
      </c>
      <c r="P10">
        <f>Table8[[#This Row],[GROSS  SALARY]]*2%</f>
        <v>1621.5984000000001</v>
      </c>
      <c r="Q10">
        <f>Table8[[#This Row],[GROSS  SALARY]]-Table8[[#This Row],[INCOME TAX]]</f>
        <v>79458.321599999996</v>
      </c>
    </row>
    <row r="11" spans="1:17">
      <c r="A11" t="s">
        <v>301</v>
      </c>
      <c r="B11">
        <v>62093</v>
      </c>
      <c r="C11">
        <f>Table8[[#This Row],[BASIC SALARY]]*6%</f>
        <v>3725.58</v>
      </c>
      <c r="D11">
        <f>Table8[[#This Row],[BASIC SALARY]]*7%</f>
        <v>4346.51</v>
      </c>
      <c r="E11">
        <f>Table8[[#This Row],[BASIC SALARY]]*4%</f>
        <v>2483.7199999999998</v>
      </c>
      <c r="F11">
        <f>Table8[[#This Row],[BASIC SALARY]]*9%</f>
        <v>5588.37</v>
      </c>
      <c r="G11">
        <f>Table8[[#This Row],[BASIC SALARY]]/30</f>
        <v>2069.7666666666701</v>
      </c>
      <c r="H11">
        <f>Table8[[#This Row],[BASIC SALARY]]/8</f>
        <v>7761.625</v>
      </c>
      <c r="I11">
        <v>2</v>
      </c>
      <c r="J11">
        <f>Table8[[#This Row],[PER DAY SALARY]]*Table8[[#This Row],[TOTAL LEAVE]]</f>
        <v>4139.5333333333301</v>
      </c>
      <c r="K11">
        <v>2</v>
      </c>
      <c r="L11">
        <f>Table8[[#This Row],[PER DAY SALARY]]/2*Table8[[#This Row],[HALF DAY]]</f>
        <v>2069.7666666666701</v>
      </c>
      <c r="M11">
        <v>2</v>
      </c>
      <c r="N11">
        <f>Table8[[#This Row],[PER HOUR SALARY]]*Table8[[#This Row],[OVER TIME]]</f>
        <v>15523.25</v>
      </c>
      <c r="O11">
        <f>(Table8[[#This Row],[BASIC SALARY]]+Table8[[#This Row],[HRA]]+Table8[[#This Row],[DA]]+Table8[[#This Row],[TA]])-Table8[[#This Row],[PF]]</f>
        <v>67060.44</v>
      </c>
      <c r="P11">
        <f>Table8[[#This Row],[GROSS  SALARY]]*2%</f>
        <v>1341.2088000000001</v>
      </c>
      <c r="Q11">
        <f>Table8[[#This Row],[GROSS  SALARY]]-Table8[[#This Row],[INCOME TAX]]</f>
        <v>65719.231199999995</v>
      </c>
    </row>
    <row r="12" spans="1:17">
      <c r="A12" t="s">
        <v>198</v>
      </c>
      <c r="B12">
        <v>73939</v>
      </c>
      <c r="C12">
        <f>Table8[[#This Row],[BASIC SALARY]]*6%</f>
        <v>4436.34</v>
      </c>
      <c r="D12">
        <f>Table8[[#This Row],[BASIC SALARY]]*7%</f>
        <v>5175.7299999999996</v>
      </c>
      <c r="E12">
        <f>Table8[[#This Row],[BASIC SALARY]]*4%</f>
        <v>2957.56</v>
      </c>
      <c r="F12">
        <f>Table8[[#This Row],[BASIC SALARY]]*9%</f>
        <v>6654.51</v>
      </c>
      <c r="G12">
        <f>Table8[[#This Row],[BASIC SALARY]]/30</f>
        <v>2464.63333333333</v>
      </c>
      <c r="H12">
        <f>Table8[[#This Row],[BASIC SALARY]]/8</f>
        <v>9242.375</v>
      </c>
      <c r="I12">
        <v>3</v>
      </c>
      <c r="J12">
        <f>Table8[[#This Row],[PER DAY SALARY]]*Table8[[#This Row],[TOTAL LEAVE]]</f>
        <v>7393.9</v>
      </c>
      <c r="K12">
        <v>4</v>
      </c>
      <c r="L12">
        <f>Table8[[#This Row],[PER DAY SALARY]]/2*Table8[[#This Row],[HALF DAY]]</f>
        <v>4929.2666666666601</v>
      </c>
      <c r="M12">
        <v>2</v>
      </c>
      <c r="N12">
        <f>Table8[[#This Row],[PER HOUR SALARY]]*Table8[[#This Row],[OVER TIME]]</f>
        <v>18484.75</v>
      </c>
      <c r="O12">
        <f>(Table8[[#This Row],[BASIC SALARY]]+Table8[[#This Row],[HRA]]+Table8[[#This Row],[DA]]+Table8[[#This Row],[TA]])-Table8[[#This Row],[PF]]</f>
        <v>79854.12</v>
      </c>
      <c r="P12">
        <f>Table8[[#This Row],[GROSS  SALARY]]*2%</f>
        <v>1597.0824</v>
      </c>
      <c r="Q12">
        <f>Table8[[#This Row],[GROSS  SALARY]]-Table8[[#This Row],[INCOME TAX]]</f>
        <v>78257.037599999996</v>
      </c>
    </row>
    <row r="13" spans="1:17">
      <c r="A13" t="s">
        <v>302</v>
      </c>
      <c r="B13">
        <v>77000</v>
      </c>
      <c r="C13">
        <f>Table8[[#This Row],[BASIC SALARY]]*6%</f>
        <v>4620</v>
      </c>
      <c r="D13">
        <f>Table8[[#This Row],[BASIC SALARY]]*7%</f>
        <v>5390</v>
      </c>
      <c r="E13">
        <f>Table8[[#This Row],[BASIC SALARY]]*4%</f>
        <v>3080</v>
      </c>
      <c r="F13">
        <f>Table8[[#This Row],[BASIC SALARY]]*9%</f>
        <v>6930</v>
      </c>
      <c r="G13">
        <f>Table8[[#This Row],[BASIC SALARY]]/30</f>
        <v>2566.6666666666702</v>
      </c>
      <c r="H13">
        <f>Table8[[#This Row],[BASIC SALARY]]/8</f>
        <v>9625</v>
      </c>
      <c r="I13">
        <v>1</v>
      </c>
      <c r="J13">
        <f>Table8[[#This Row],[PER DAY SALARY]]*Table8[[#This Row],[TOTAL LEAVE]]</f>
        <v>2566.6666666666702</v>
      </c>
      <c r="K13">
        <v>2</v>
      </c>
      <c r="L13">
        <f>Table8[[#This Row],[PER DAY SALARY]]/2*Table8[[#This Row],[HALF DAY]]</f>
        <v>2566.6666666666702</v>
      </c>
      <c r="M13">
        <v>3</v>
      </c>
      <c r="N13">
        <f>Table8[[#This Row],[PER HOUR SALARY]]*Table8[[#This Row],[OVER TIME]]</f>
        <v>28875</v>
      </c>
      <c r="O13">
        <f>(Table8[[#This Row],[BASIC SALARY]]+Table8[[#This Row],[HRA]]+Table8[[#This Row],[DA]]+Table8[[#This Row],[TA]])-Table8[[#This Row],[PF]]</f>
        <v>83160</v>
      </c>
      <c r="P13">
        <f>Table8[[#This Row],[GROSS  SALARY]]*2%</f>
        <v>1663.2</v>
      </c>
      <c r="Q13">
        <f>Table8[[#This Row],[GROSS  SALARY]]-Table8[[#This Row],[INCOME TAX]]</f>
        <v>81496.800000000003</v>
      </c>
    </row>
    <row r="16" spans="1:17">
      <c r="A16" t="s">
        <v>283</v>
      </c>
      <c r="B16" s="1">
        <v>0.06</v>
      </c>
    </row>
    <row r="17" spans="1:2">
      <c r="A17" t="s">
        <v>284</v>
      </c>
      <c r="B17" s="1">
        <v>7.0000000000000007E-2</v>
      </c>
    </row>
    <row r="18" spans="1:2">
      <c r="A18" t="s">
        <v>285</v>
      </c>
      <c r="B18" s="1">
        <v>0.04</v>
      </c>
    </row>
    <row r="19" spans="1:2">
      <c r="A19" t="s">
        <v>286</v>
      </c>
      <c r="B19" s="1">
        <v>0.09</v>
      </c>
    </row>
  </sheetData>
  <mergeCells count="1">
    <mergeCell ref="H1:I1"/>
  </mergeCell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
  <sheetViews>
    <sheetView topLeftCell="A4" zoomScale="88" zoomScaleNormal="73" workbookViewId="0">
      <selection activeCell="N13" sqref="N13"/>
    </sheetView>
  </sheetViews>
  <sheetFormatPr defaultColWidth="9" defaultRowHeight="14.5"/>
  <cols>
    <col min="1" max="1" width="13.1796875" bestFit="1" customWidth="1"/>
    <col min="2" max="2" width="12.1796875" bestFit="1" customWidth="1"/>
    <col min="3" max="3" width="10.08984375" customWidth="1"/>
    <col min="4" max="4" width="6.81640625" customWidth="1"/>
    <col min="5" max="5" width="9.6328125" customWidth="1"/>
    <col min="6" max="6" width="10.90625" customWidth="1"/>
  </cols>
  <sheetData>
    <row r="1" spans="1:17" ht="21">
      <c r="A1" s="48" t="s">
        <v>303</v>
      </c>
      <c r="B1" s="48"/>
      <c r="C1" s="48"/>
    </row>
    <row r="2" spans="1:17">
      <c r="A2" s="4" t="s">
        <v>460</v>
      </c>
      <c r="B2" s="4" t="s">
        <v>109</v>
      </c>
      <c r="C2" s="4" t="s">
        <v>172</v>
      </c>
    </row>
    <row r="3" spans="1:17">
      <c r="A3" s="28" t="s">
        <v>461</v>
      </c>
      <c r="B3" s="29">
        <v>45353</v>
      </c>
      <c r="C3" s="28">
        <v>48579</v>
      </c>
      <c r="D3" s="4"/>
      <c r="E3" s="4"/>
    </row>
    <row r="4" spans="1:17">
      <c r="A4" t="s">
        <v>462</v>
      </c>
      <c r="B4" s="29">
        <v>45353</v>
      </c>
      <c r="C4" s="28">
        <v>38219</v>
      </c>
      <c r="D4" s="1"/>
    </row>
    <row r="5" spans="1:17">
      <c r="A5" t="s">
        <v>227</v>
      </c>
      <c r="B5" s="29">
        <v>45355</v>
      </c>
      <c r="C5" s="28">
        <v>19027</v>
      </c>
      <c r="D5" s="1"/>
    </row>
    <row r="6" spans="1:17">
      <c r="A6" t="s">
        <v>461</v>
      </c>
      <c r="B6" s="29">
        <v>45357</v>
      </c>
      <c r="C6" s="28">
        <v>18058</v>
      </c>
      <c r="D6" s="1"/>
    </row>
    <row r="7" spans="1:17">
      <c r="A7" t="s">
        <v>463</v>
      </c>
      <c r="B7" s="29">
        <v>45357</v>
      </c>
      <c r="C7" s="28">
        <v>21816</v>
      </c>
      <c r="D7" s="1"/>
    </row>
    <row r="8" spans="1:17">
      <c r="A8" t="s">
        <v>227</v>
      </c>
      <c r="B8" s="29">
        <v>45358</v>
      </c>
      <c r="C8" s="28">
        <v>28057</v>
      </c>
      <c r="D8" s="6"/>
    </row>
    <row r="9" spans="1:17">
      <c r="A9" t="s">
        <v>464</v>
      </c>
      <c r="B9" s="29">
        <v>45360</v>
      </c>
      <c r="C9" s="28">
        <v>48110</v>
      </c>
      <c r="D9" s="6"/>
    </row>
    <row r="10" spans="1:17">
      <c r="A10" t="s">
        <v>463</v>
      </c>
      <c r="B10" s="29">
        <v>45364</v>
      </c>
      <c r="C10" s="28">
        <v>18180</v>
      </c>
      <c r="D10" s="1"/>
    </row>
    <row r="11" spans="1:17">
      <c r="A11" t="s">
        <v>227</v>
      </c>
      <c r="B11" s="29">
        <v>45366</v>
      </c>
      <c r="C11" s="28">
        <v>30919</v>
      </c>
      <c r="D11" s="6"/>
      <c r="Q11" s="28"/>
    </row>
    <row r="12" spans="1:17">
      <c r="A12" t="s">
        <v>464</v>
      </c>
      <c r="B12" s="29">
        <v>45366</v>
      </c>
      <c r="C12" s="28">
        <v>48822</v>
      </c>
      <c r="D12" s="6"/>
    </row>
    <row r="13" spans="1:17">
      <c r="A13" t="s">
        <v>462</v>
      </c>
      <c r="B13" s="29">
        <v>45369</v>
      </c>
      <c r="C13" s="28">
        <v>17793</v>
      </c>
      <c r="D13" s="6"/>
    </row>
    <row r="14" spans="1:17">
      <c r="C14" s="4"/>
    </row>
  </sheetData>
  <mergeCells count="1">
    <mergeCell ref="A1:C1"/>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
  <sheetViews>
    <sheetView topLeftCell="B1" workbookViewId="0">
      <selection activeCell="I24" sqref="I24"/>
    </sheetView>
  </sheetViews>
  <sheetFormatPr defaultColWidth="9" defaultRowHeight="14.5"/>
  <cols>
    <col min="1" max="1" width="12.08984375" customWidth="1"/>
    <col min="2" max="2" width="11.81640625" customWidth="1"/>
    <col min="3" max="3" width="10.36328125" customWidth="1"/>
    <col min="4" max="4" width="6.453125" customWidth="1"/>
    <col min="5" max="5" width="7.36328125" customWidth="1"/>
    <col min="6" max="6" width="10.90625" customWidth="1"/>
    <col min="7" max="7" width="8.81640625" customWidth="1"/>
  </cols>
  <sheetData>
    <row r="1" spans="1:7">
      <c r="A1" t="s">
        <v>304</v>
      </c>
      <c r="B1" t="s">
        <v>218</v>
      </c>
      <c r="C1" t="s">
        <v>270</v>
      </c>
      <c r="D1" t="s">
        <v>92</v>
      </c>
      <c r="E1" t="s">
        <v>219</v>
      </c>
      <c r="F1" t="s">
        <v>203</v>
      </c>
      <c r="G1" t="s">
        <v>6</v>
      </c>
    </row>
    <row r="2" spans="1:7">
      <c r="A2" t="s">
        <v>305</v>
      </c>
      <c r="B2" t="s">
        <v>224</v>
      </c>
      <c r="C2" t="s">
        <v>223</v>
      </c>
      <c r="D2">
        <v>150</v>
      </c>
      <c r="E2">
        <v>70000</v>
      </c>
      <c r="G2" s="3">
        <f>Table9_1[[#This Row],[RATE]]*Table9_1[[#This Row],[QTY]]</f>
        <v>10500000</v>
      </c>
    </row>
    <row r="3" spans="1:7">
      <c r="A3" t="s">
        <v>263</v>
      </c>
      <c r="B3" t="s">
        <v>227</v>
      </c>
      <c r="C3" t="s">
        <v>160</v>
      </c>
      <c r="D3">
        <v>100</v>
      </c>
      <c r="E3">
        <v>80000</v>
      </c>
      <c r="G3" s="3">
        <f>Table9_1[[#This Row],[RATE]]*Table9_1[[#This Row],[QTY]]</f>
        <v>8000000</v>
      </c>
    </row>
    <row r="4" spans="1:7">
      <c r="A4" t="s">
        <v>264</v>
      </c>
      <c r="B4" t="s">
        <v>308</v>
      </c>
      <c r="C4" t="s">
        <v>231</v>
      </c>
      <c r="D4">
        <v>135</v>
      </c>
      <c r="E4">
        <v>35000</v>
      </c>
      <c r="G4" s="3">
        <f>Table9_1[[#This Row],[RATE]]*Table9_1[[#This Row],[QTY]]</f>
        <v>4725000</v>
      </c>
    </row>
    <row r="5" spans="1:7">
      <c r="A5" t="s">
        <v>301</v>
      </c>
      <c r="B5" t="s">
        <v>309</v>
      </c>
      <c r="C5" t="s">
        <v>253</v>
      </c>
      <c r="D5">
        <v>90</v>
      </c>
      <c r="E5">
        <v>9000</v>
      </c>
      <c r="G5" s="3">
        <f>Table9_1[[#This Row],[RATE]]*Table9_1[[#This Row],[QTY]]</f>
        <v>810000</v>
      </c>
    </row>
    <row r="6" spans="1:7">
      <c r="A6" t="s">
        <v>310</v>
      </c>
      <c r="B6" t="s">
        <v>227</v>
      </c>
      <c r="C6" t="s">
        <v>229</v>
      </c>
      <c r="D6">
        <v>120</v>
      </c>
      <c r="E6">
        <v>15000</v>
      </c>
      <c r="G6" s="3">
        <f>Table9_1[[#This Row],[RATE]]*Table9_1[[#This Row],[QTY]]</f>
        <v>1800000</v>
      </c>
    </row>
    <row r="7" spans="1:7">
      <c r="A7" t="s">
        <v>311</v>
      </c>
      <c r="B7" t="s">
        <v>224</v>
      </c>
      <c r="C7" t="s">
        <v>226</v>
      </c>
      <c r="D7">
        <v>120</v>
      </c>
      <c r="E7">
        <v>500</v>
      </c>
      <c r="G7" s="3">
        <f>Table9_1[[#This Row],[RATE]]*Table9_1[[#This Row],[QTY]]</f>
        <v>60000</v>
      </c>
    </row>
    <row r="8" spans="1:7">
      <c r="A8" t="s">
        <v>312</v>
      </c>
      <c r="B8" t="s">
        <v>306</v>
      </c>
      <c r="C8" t="s">
        <v>313</v>
      </c>
      <c r="D8">
        <v>220</v>
      </c>
      <c r="E8">
        <v>250</v>
      </c>
      <c r="G8" s="3">
        <f>Table9_1[[#This Row],[RATE]]*Table9_1[[#This Row],[QTY]]</f>
        <v>55000</v>
      </c>
    </row>
    <row r="9" spans="1:7">
      <c r="A9" t="s">
        <v>198</v>
      </c>
      <c r="B9" t="s">
        <v>309</v>
      </c>
      <c r="C9" t="s">
        <v>314</v>
      </c>
      <c r="D9">
        <v>350</v>
      </c>
      <c r="E9">
        <v>1000</v>
      </c>
      <c r="G9" s="3">
        <f>Table9_1[[#This Row],[RATE]]*Table9_1[[#This Row],[QTY]]</f>
        <v>350000</v>
      </c>
    </row>
    <row r="10" spans="1:7">
      <c r="G10">
        <f>SUM(G2:G9)</f>
        <v>26300000</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zoomScale="72" zoomScaleNormal="72" workbookViewId="0">
      <selection activeCell="G14" sqref="G14"/>
    </sheetView>
  </sheetViews>
  <sheetFormatPr defaultColWidth="9" defaultRowHeight="14.5"/>
  <cols>
    <col min="1" max="1" width="12.1796875" customWidth="1"/>
    <col min="2" max="2" width="13.1796875" customWidth="1"/>
    <col min="3" max="3" width="9.26953125" customWidth="1"/>
    <col min="4" max="4" width="19" customWidth="1"/>
    <col min="5" max="5" width="20.6328125" customWidth="1"/>
    <col min="9" max="9" width="13.1796875" customWidth="1"/>
    <col min="10" max="10" width="19" customWidth="1"/>
    <col min="11" max="11" width="10.26953125" customWidth="1"/>
    <col min="12" max="12" width="13.1796875" customWidth="1"/>
    <col min="13" max="13" width="19" customWidth="1"/>
    <col min="15" max="15" width="13.1796875" customWidth="1"/>
    <col min="16" max="16" width="19" customWidth="1"/>
  </cols>
  <sheetData>
    <row r="1" spans="1:16" ht="26">
      <c r="B1" s="49" t="s">
        <v>316</v>
      </c>
      <c r="C1" s="49"/>
      <c r="D1" s="49"/>
      <c r="E1" s="49"/>
    </row>
    <row r="4" spans="1:16">
      <c r="A4" t="s">
        <v>243</v>
      </c>
      <c r="B4" t="s">
        <v>317</v>
      </c>
      <c r="C4" t="s">
        <v>318</v>
      </c>
      <c r="D4" t="s">
        <v>319</v>
      </c>
      <c r="E4" t="s">
        <v>320</v>
      </c>
    </row>
    <row r="5" spans="1:16">
      <c r="A5" t="s">
        <v>227</v>
      </c>
      <c r="B5">
        <v>71</v>
      </c>
      <c r="C5">
        <f>VLOOKUP(Table10[[#This Row],[PRODUCT]],Table12[],2,FALSE)</f>
        <v>1</v>
      </c>
      <c r="D5" s="1">
        <f>VLOOKUP(Table10[[#This Row],[UNIT SOLD]],CHOOSE(Table10[[#This Row],[TABLE]],Table14[],Table15[],Table16[]),2,TRUE)</f>
        <v>0.05</v>
      </c>
      <c r="E5" s="1">
        <f>VLOOKUP(Table10[[#This Row],[UNIT SOLD]],CHOOSE(Table10[[#This Row],[TABLE]],Table14[],Table15[],Table16[]),2,TRUE)</f>
        <v>0.05</v>
      </c>
    </row>
    <row r="6" spans="1:16">
      <c r="A6" t="s">
        <v>321</v>
      </c>
      <c r="B6">
        <v>108</v>
      </c>
      <c r="C6">
        <f>VLOOKUP(Table10[[#This Row],[PRODUCT]],Table12[],2,FALSE)</f>
        <v>3</v>
      </c>
      <c r="D6" s="1">
        <f>VLOOKUP(Table10[[#This Row],[UNIT SOLD]],CHOOSE(Table10[[#This Row],[TABLE]],Table14[],Table15[],Table16[]),2,TRUE)</f>
        <v>0.09</v>
      </c>
      <c r="E6" s="1">
        <f>VLOOKUP(Table10[[#This Row],[UNIT SOLD]],CHOOSE(Table10[[#This Row],[TABLE]],Table14[],Table15[],Table16[]),2,TRUE)</f>
        <v>0.09</v>
      </c>
      <c r="I6" s="2"/>
      <c r="J6" s="2"/>
    </row>
    <row r="7" spans="1:16" ht="15.5">
      <c r="A7" t="s">
        <v>322</v>
      </c>
      <c r="B7">
        <v>107</v>
      </c>
      <c r="C7">
        <f>VLOOKUP(Table10[[#This Row],[PRODUCT]],Table12[],2,FALSE)</f>
        <v>2</v>
      </c>
      <c r="D7" s="1">
        <f>VLOOKUP(Table10[[#This Row],[UNIT SOLD]],CHOOSE(Table10[[#This Row],[TABLE]],Table14[],Table15[],Table16[]),2,TRUE)</f>
        <v>0.08</v>
      </c>
      <c r="E7" s="1">
        <f>VLOOKUP(Table10[[#This Row],[UNIT SOLD]],CHOOSE(Table10[[#This Row],[TABLE]],Table14[],Table15[],Table16[]),2,TRUE)</f>
        <v>0.08</v>
      </c>
      <c r="I7" s="50" t="s">
        <v>227</v>
      </c>
      <c r="J7" s="50"/>
      <c r="L7" s="51" t="s">
        <v>321</v>
      </c>
      <c r="M7" s="51"/>
    </row>
    <row r="8" spans="1:16">
      <c r="A8" t="s">
        <v>227</v>
      </c>
      <c r="B8">
        <v>94</v>
      </c>
      <c r="C8">
        <f>VLOOKUP(Table10[[#This Row],[PRODUCT]],Table12[],2,FALSE)</f>
        <v>1</v>
      </c>
      <c r="D8" s="1">
        <f>VLOOKUP(Table10[[#This Row],[UNIT SOLD]],CHOOSE(Table10[[#This Row],[TABLE]],Table14[],Table15[],Table16[]),2,TRUE)</f>
        <v>0.05</v>
      </c>
      <c r="E8" s="1">
        <f>VLOOKUP(Table10[[#This Row],[UNIT SOLD]],CHOOSE(Table10[[#This Row],[TABLE]],Table14[],Table15[],Table16[]),2,TRUE)</f>
        <v>0.05</v>
      </c>
      <c r="I8" t="s">
        <v>317</v>
      </c>
      <c r="J8" t="s">
        <v>319</v>
      </c>
      <c r="L8" t="s">
        <v>317</v>
      </c>
      <c r="M8" t="s">
        <v>319</v>
      </c>
      <c r="O8" t="s">
        <v>317</v>
      </c>
      <c r="P8" t="s">
        <v>319</v>
      </c>
    </row>
    <row r="9" spans="1:16">
      <c r="A9" t="s">
        <v>322</v>
      </c>
      <c r="B9">
        <v>158</v>
      </c>
      <c r="C9">
        <f>VLOOKUP(Table10[[#This Row],[PRODUCT]],Table12[],2,FALSE)</f>
        <v>2</v>
      </c>
      <c r="D9" s="1">
        <f>VLOOKUP(Table10[[#This Row],[UNIT SOLD]],CHOOSE(Table10[[#This Row],[TABLE]],Table14[],Table15[],Table16[]),2,TRUE)</f>
        <v>0.13</v>
      </c>
      <c r="E9" s="1">
        <f>VLOOKUP(Table10[[#This Row],[UNIT SOLD]],CHOOSE(Table10[[#This Row],[TABLE]],Table14[],Table15[],Table16[]),2,TRUE)</f>
        <v>0.13</v>
      </c>
      <c r="I9">
        <v>0</v>
      </c>
      <c r="J9" s="1">
        <v>0</v>
      </c>
      <c r="L9">
        <v>0</v>
      </c>
      <c r="M9" s="1">
        <v>0</v>
      </c>
      <c r="O9">
        <v>0</v>
      </c>
      <c r="P9" s="1">
        <v>0</v>
      </c>
    </row>
    <row r="10" spans="1:16">
      <c r="A10" t="s">
        <v>321</v>
      </c>
      <c r="B10">
        <v>72</v>
      </c>
      <c r="C10">
        <f>VLOOKUP(Table10[[#This Row],[PRODUCT]],Table12[],2,FALSE)</f>
        <v>3</v>
      </c>
      <c r="D10" s="1">
        <f>VLOOKUP(Table10[[#This Row],[UNIT SOLD]],CHOOSE(Table10[[#This Row],[TABLE]],Table14[],Table15[],Table16[]),2,TRUE)</f>
        <v>0.06</v>
      </c>
      <c r="E10" s="1">
        <f>VLOOKUP(Table10[[#This Row],[UNIT SOLD]],CHOOSE(Table10[[#This Row],[TABLE]],Table14[],Table15[],Table16[]),2,TRUE)</f>
        <v>0.06</v>
      </c>
      <c r="I10">
        <v>50</v>
      </c>
      <c r="J10" s="1">
        <v>0.05</v>
      </c>
      <c r="L10">
        <v>50</v>
      </c>
      <c r="M10" s="1">
        <v>0.04</v>
      </c>
      <c r="O10">
        <v>50</v>
      </c>
      <c r="P10" s="1">
        <v>0.06</v>
      </c>
    </row>
    <row r="11" spans="1:16">
      <c r="A11" t="s">
        <v>227</v>
      </c>
      <c r="B11">
        <v>94</v>
      </c>
      <c r="C11">
        <f>VLOOKUP(Table10[[#This Row],[PRODUCT]],Table12[],2,FALSE)</f>
        <v>1</v>
      </c>
      <c r="D11" s="1">
        <f>VLOOKUP(Table10[[#This Row],[UNIT SOLD]],CHOOSE(Table10[[#This Row],[TABLE]],Table14[],Table15[],Table16[]),2,TRUE)</f>
        <v>0.05</v>
      </c>
      <c r="E11" s="1">
        <f>VLOOKUP(Table10[[#This Row],[UNIT SOLD]],CHOOSE(Table10[[#This Row],[TABLE]],Table14[],Table15[],Table16[]),2,TRUE)</f>
        <v>0.05</v>
      </c>
      <c r="I11">
        <v>100</v>
      </c>
      <c r="J11" s="1">
        <v>7.0000000000000007E-2</v>
      </c>
      <c r="L11">
        <v>100</v>
      </c>
      <c r="M11" s="1">
        <v>0.08</v>
      </c>
      <c r="O11">
        <v>100</v>
      </c>
      <c r="P11" s="1">
        <v>0.09</v>
      </c>
    </row>
    <row r="12" spans="1:16">
      <c r="A12" t="s">
        <v>322</v>
      </c>
      <c r="B12">
        <v>117</v>
      </c>
      <c r="C12">
        <f>VLOOKUP(Table10[[#This Row],[PRODUCT]],Table12[],2,FALSE)</f>
        <v>2</v>
      </c>
      <c r="D12" s="1">
        <f>VLOOKUP(Table10[[#This Row],[UNIT SOLD]],CHOOSE(Table10[[#This Row],[TABLE]],Table14[],Table15[],Table16[]),2,TRUE)</f>
        <v>0.08</v>
      </c>
      <c r="E12" s="1">
        <f>VLOOKUP(Table10[[#This Row],[UNIT SOLD]],CHOOSE(Table10[[#This Row],[TABLE]],Table14[],Table15[],Table16[]),2,TRUE)</f>
        <v>0.08</v>
      </c>
      <c r="I12">
        <v>150</v>
      </c>
      <c r="J12" s="1">
        <v>0.12</v>
      </c>
      <c r="L12">
        <v>150</v>
      </c>
      <c r="M12" s="1">
        <v>0.13</v>
      </c>
      <c r="O12">
        <v>150</v>
      </c>
      <c r="P12" s="1">
        <v>0.15</v>
      </c>
    </row>
    <row r="13" spans="1:16">
      <c r="A13" t="s">
        <v>322</v>
      </c>
      <c r="B13">
        <v>87</v>
      </c>
      <c r="C13">
        <f>VLOOKUP(Table10[[#This Row],[PRODUCT]],Table12[],2,FALSE)</f>
        <v>2</v>
      </c>
      <c r="D13" s="1">
        <f>VLOOKUP(Table10[[#This Row],[UNIT SOLD]],CHOOSE(Table10[[#This Row],[TABLE]],Table14[],Table15[],Table16[]),2,TRUE)</f>
        <v>0.04</v>
      </c>
      <c r="E13" s="1">
        <f>VLOOKUP(Table10[[#This Row],[UNIT SOLD]],CHOOSE(Table10[[#This Row],[TABLE]],Table14[],Table15[],Table16[]),2,TRUE)</f>
        <v>0.04</v>
      </c>
      <c r="I13">
        <v>200</v>
      </c>
      <c r="J13" s="1">
        <v>0.15</v>
      </c>
      <c r="L13">
        <v>200</v>
      </c>
      <c r="M13" s="1">
        <v>0.17</v>
      </c>
      <c r="O13">
        <v>200</v>
      </c>
      <c r="P13" s="1">
        <v>0.2</v>
      </c>
    </row>
    <row r="14" spans="1:16">
      <c r="A14" t="s">
        <v>322</v>
      </c>
      <c r="B14">
        <v>106</v>
      </c>
      <c r="C14">
        <f>VLOOKUP(Table10[[#This Row],[PRODUCT]],Table12[],2,FALSE)</f>
        <v>2</v>
      </c>
      <c r="D14" s="1">
        <f>VLOOKUP(Table10[[#This Row],[UNIT SOLD]],CHOOSE(Table10[[#This Row],[TABLE]],Table14[],Table15[],Table16[]),2,TRUE)</f>
        <v>0.08</v>
      </c>
      <c r="E14" s="1">
        <f>VLOOKUP(Table10[[#This Row],[UNIT SOLD]],CHOOSE(Table10[[#This Row],[TABLE]],Table14[],Table15[],Table16[]),2,TRUE)</f>
        <v>0.08</v>
      </c>
    </row>
    <row r="15" spans="1:16">
      <c r="A15" t="s">
        <v>227</v>
      </c>
      <c r="B15">
        <v>173</v>
      </c>
      <c r="C15">
        <f>VLOOKUP(Table10[[#This Row],[PRODUCT]],Table12[],2,FALSE)</f>
        <v>1</v>
      </c>
      <c r="D15" s="1">
        <f>VLOOKUP(Table10[[#This Row],[UNIT SOLD]],CHOOSE(Table10[[#This Row],[TABLE]],Table14[],Table15[],Table16[]),2,TRUE)</f>
        <v>0.12</v>
      </c>
      <c r="E15" s="1">
        <f>VLOOKUP(Table10[[#This Row],[UNIT SOLD]],CHOOSE(Table10[[#This Row],[TABLE]],Table14[],Table15[],Table16[]),2,TRUE)</f>
        <v>0.12</v>
      </c>
    </row>
    <row r="16" spans="1:16">
      <c r="A16" t="s">
        <v>321</v>
      </c>
      <c r="B16">
        <v>103</v>
      </c>
      <c r="C16">
        <f>VLOOKUP(Table10[[#This Row],[PRODUCT]],Table12[],2,FALSE)</f>
        <v>3</v>
      </c>
      <c r="D16" s="1">
        <f>VLOOKUP(Table10[[#This Row],[UNIT SOLD]],CHOOSE(Table10[[#This Row],[TABLE]],Table14[],Table15[],Table16[]),2,TRUE)</f>
        <v>0.09</v>
      </c>
      <c r="E16" s="1">
        <f>VLOOKUP(Table10[[#This Row],[UNIT SOLD]],CHOOSE(Table10[[#This Row],[TABLE]],Table14[],Table15[],Table16[]),2,TRUE)</f>
        <v>0.09</v>
      </c>
    </row>
    <row r="17" spans="1:5">
      <c r="A17" t="s">
        <v>321</v>
      </c>
      <c r="B17">
        <v>95</v>
      </c>
      <c r="C17">
        <f>VLOOKUP(Table10[[#This Row],[PRODUCT]],Table12[],2,FALSE)</f>
        <v>3</v>
      </c>
      <c r="D17" s="1">
        <f>VLOOKUP(Table10[[#This Row],[UNIT SOLD]],CHOOSE(Table10[[#This Row],[TABLE]],Table14[],Table15[],Table16[]),2,TRUE)</f>
        <v>0.06</v>
      </c>
      <c r="E17" s="1">
        <f>VLOOKUP(Table10[[#This Row],[UNIT SOLD]],CHOOSE(Table10[[#This Row],[TABLE]],Table14[],Table15[],Table16[]),2,TRUE)</f>
        <v>0.06</v>
      </c>
    </row>
    <row r="18" spans="1:5">
      <c r="A18" t="s">
        <v>227</v>
      </c>
      <c r="B18">
        <v>137</v>
      </c>
      <c r="C18">
        <f>VLOOKUP(Table10[[#This Row],[PRODUCT]],Table12[],2,FALSE)</f>
        <v>1</v>
      </c>
      <c r="D18" s="1">
        <f>VLOOKUP(Table10[[#This Row],[UNIT SOLD]],CHOOSE(Table10[[#This Row],[TABLE]],Table14[],Table15[],Table16[]),2,TRUE)</f>
        <v>7.0000000000000007E-2</v>
      </c>
      <c r="E18" s="1">
        <f>VLOOKUP(Table10[[#This Row],[UNIT SOLD]],CHOOSE(Table10[[#This Row],[TABLE]],Table14[],Table15[],Table16[]),2,TRUE)</f>
        <v>7.0000000000000007E-2</v>
      </c>
    </row>
    <row r="19" spans="1:5">
      <c r="A19" t="s">
        <v>227</v>
      </c>
      <c r="B19">
        <v>137</v>
      </c>
      <c r="C19">
        <f>VLOOKUP(Table10[[#This Row],[PRODUCT]],Table12[],2,FALSE)</f>
        <v>1</v>
      </c>
      <c r="D19" s="1">
        <f>VLOOKUP(Table10[[#This Row],[UNIT SOLD]],CHOOSE(Table10[[#This Row],[TABLE]],Table14[],Table15[],Table16[]),2,TRUE)</f>
        <v>7.0000000000000007E-2</v>
      </c>
      <c r="E19" s="1">
        <f>VLOOKUP(Table10[[#This Row],[UNIT SOLD]],CHOOSE(Table10[[#This Row],[TABLE]],Table14[],Table15[],Table16[]),2,TRUE)</f>
        <v>7.0000000000000007E-2</v>
      </c>
    </row>
    <row r="22" spans="1:5">
      <c r="A22" t="s">
        <v>315</v>
      </c>
      <c r="B22" t="s">
        <v>323</v>
      </c>
    </row>
    <row r="23" spans="1:5">
      <c r="A23" t="s">
        <v>227</v>
      </c>
      <c r="B23">
        <v>1</v>
      </c>
    </row>
    <row r="24" spans="1:5">
      <c r="A24" t="s">
        <v>322</v>
      </c>
      <c r="B24">
        <v>2</v>
      </c>
    </row>
    <row r="25" spans="1:5">
      <c r="A25" t="s">
        <v>321</v>
      </c>
      <c r="B25">
        <v>3</v>
      </c>
    </row>
  </sheetData>
  <mergeCells count="3">
    <mergeCell ref="B1:E1"/>
    <mergeCell ref="I7:J7"/>
    <mergeCell ref="L7:M7"/>
  </mergeCells>
  <pageMargins left="0.7" right="0.7" top="0.75" bottom="0.75" header="0.3" footer="0.3"/>
  <tableParts count="5">
    <tablePart r:id="rId1"/>
    <tablePart r:id="rId2"/>
    <tablePart r:id="rId3"/>
    <tablePart r:id="rId4"/>
    <tablePart r:id="rId5"/>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selection activeCell="I6" sqref="I6"/>
    </sheetView>
  </sheetViews>
  <sheetFormatPr defaultColWidth="9" defaultRowHeight="14.5"/>
  <cols>
    <col min="1" max="2" width="10.26953125" customWidth="1"/>
    <col min="4" max="6" width="10.26953125" customWidth="1"/>
    <col min="7" max="7" width="7.81640625" customWidth="1"/>
  </cols>
  <sheetData>
    <row r="1" spans="1:7" ht="21">
      <c r="E1" s="48" t="s">
        <v>324</v>
      </c>
      <c r="F1" s="48"/>
      <c r="G1" s="48"/>
    </row>
    <row r="3" spans="1:7">
      <c r="A3" t="s">
        <v>325</v>
      </c>
      <c r="B3" t="s">
        <v>326</v>
      </c>
    </row>
    <row r="4" spans="1:7">
      <c r="A4">
        <v>1</v>
      </c>
      <c r="B4" t="s">
        <v>327</v>
      </c>
      <c r="D4" t="s">
        <v>328</v>
      </c>
      <c r="E4" t="s">
        <v>325</v>
      </c>
      <c r="F4" t="s">
        <v>326</v>
      </c>
    </row>
    <row r="5" spans="1:7">
      <c r="A5">
        <v>2</v>
      </c>
      <c r="B5" t="s">
        <v>327</v>
      </c>
      <c r="D5" t="s">
        <v>222</v>
      </c>
      <c r="E5">
        <v>9</v>
      </c>
      <c r="F5" t="str">
        <f>CHOOSE(Table18[[#This Row],[SCORE]],$B$4,$B$5,$B$6,$B$7,$B$8,$B$9,$B$10,$B$11,B$12)</f>
        <v>POOR</v>
      </c>
    </row>
    <row r="6" spans="1:7">
      <c r="A6">
        <v>3</v>
      </c>
      <c r="B6" t="s">
        <v>329</v>
      </c>
      <c r="D6" t="s">
        <v>298</v>
      </c>
      <c r="E6">
        <v>5</v>
      </c>
      <c r="F6" t="str">
        <f>CHOOSE(Table18[[#This Row],[SCORE]],$B$4,$B$5,$B$6,$B$7,$B$8,$B$9,$B$10,$B$11,B$12)</f>
        <v>GOOD</v>
      </c>
    </row>
    <row r="7" spans="1:7">
      <c r="A7">
        <v>4</v>
      </c>
      <c r="B7" t="s">
        <v>329</v>
      </c>
      <c r="D7" t="s">
        <v>330</v>
      </c>
      <c r="E7">
        <v>1</v>
      </c>
      <c r="F7" t="str">
        <f>CHOOSE(Table18[[#This Row],[SCORE]],$B$4,$B$5,$B$6,$B$7,$B$8,$B$9,$B$10,$B$11,B$12)</f>
        <v>EXCELLENT</v>
      </c>
    </row>
    <row r="8" spans="1:7">
      <c r="A8">
        <v>5</v>
      </c>
      <c r="B8" t="s">
        <v>331</v>
      </c>
      <c r="D8" t="s">
        <v>332</v>
      </c>
      <c r="E8">
        <v>2</v>
      </c>
      <c r="F8" t="str">
        <f>CHOOSE(Table18[[#This Row],[SCORE]],$B$4,$B$5,$B$6,$B$7,$B$8,$B$9,$B$10,$B$11,B$12)</f>
        <v>EXCELLENT</v>
      </c>
    </row>
    <row r="9" spans="1:7">
      <c r="A9">
        <v>6</v>
      </c>
      <c r="B9" t="s">
        <v>331</v>
      </c>
      <c r="D9" t="s">
        <v>333</v>
      </c>
      <c r="E9">
        <v>9</v>
      </c>
      <c r="F9" t="str">
        <f>CHOOSE(Table18[[#This Row],[SCORE]],$B$4,$B$5,$B$6,$B$7,$B$8,$B$9,$B$10,$B$11,B$12)</f>
        <v>POOR</v>
      </c>
    </row>
    <row r="10" spans="1:7">
      <c r="A10">
        <v>7</v>
      </c>
      <c r="B10" t="s">
        <v>334</v>
      </c>
      <c r="D10" t="s">
        <v>263</v>
      </c>
      <c r="E10">
        <v>3</v>
      </c>
      <c r="F10" t="str">
        <f>CHOOSE(Table18[[#This Row],[SCORE]],$B$4,$B$5,$B$6,$B$7,$B$8,$B$9,$B$10,$B$11,B$12)</f>
        <v>V.GOOD</v>
      </c>
    </row>
    <row r="11" spans="1:7">
      <c r="A11">
        <v>8</v>
      </c>
      <c r="B11" t="s">
        <v>334</v>
      </c>
      <c r="D11" t="s">
        <v>307</v>
      </c>
      <c r="E11">
        <v>5</v>
      </c>
      <c r="F11" t="str">
        <f>CHOOSE(Table18[[#This Row],[SCORE]],$B$4,$B$5,$B$6,$B$7,$B$8,$B$9,$B$10,$B$11,B$12)</f>
        <v>GOOD</v>
      </c>
    </row>
    <row r="12" spans="1:7">
      <c r="A12">
        <v>9</v>
      </c>
      <c r="B12" t="s">
        <v>334</v>
      </c>
      <c r="D12" t="s">
        <v>335</v>
      </c>
      <c r="E12">
        <v>6</v>
      </c>
      <c r="F12" t="str">
        <f>CHOOSE(Table18[[#This Row],[SCORE]],$B$4,$B$5,$B$6,$B$7,$B$8,$B$9,$B$10,$B$11,B$12)</f>
        <v>GOOD</v>
      </c>
    </row>
    <row r="13" spans="1:7">
      <c r="D13" t="s">
        <v>166</v>
      </c>
      <c r="E13">
        <v>1</v>
      </c>
      <c r="F13" t="str">
        <f>CHOOSE(Table18[[#This Row],[SCORE]],$B$4,$B$5,$B$6,$B$7,$B$8,$B$9,$B$10,$B$11,B$12)</f>
        <v>EXCELLENT</v>
      </c>
    </row>
    <row r="14" spans="1:7">
      <c r="D14" t="s">
        <v>336</v>
      </c>
      <c r="E14">
        <v>8</v>
      </c>
      <c r="F14" t="str">
        <f>CHOOSE(Table18[[#This Row],[SCORE]],$B$4,$B$5,$B$6,$B$7,$B$8,$B$9,$B$10,$B$11,B$12)</f>
        <v>POOR</v>
      </c>
    </row>
    <row r="15" spans="1:7">
      <c r="D15" t="s">
        <v>337</v>
      </c>
      <c r="E15">
        <v>4</v>
      </c>
      <c r="F15" t="str">
        <f>CHOOSE(Table18[[#This Row],[SCORE]],$B$4,$B$5,$B$6,$B$7,$B$8,$B$9,$B$10,$B$11,B$12)</f>
        <v>V.GOOD</v>
      </c>
    </row>
    <row r="16" spans="1:7">
      <c r="D16" t="s">
        <v>338</v>
      </c>
      <c r="E16">
        <v>9</v>
      </c>
      <c r="F16" t="str">
        <f>CHOOSE(Table18[[#This Row],[SCORE]],$B$4,$B$5,$B$6,$B$7,$B$8,$B$9,$B$10,$B$11,B$12)</f>
        <v>POOR</v>
      </c>
    </row>
    <row r="17" spans="4:6">
      <c r="D17" t="s">
        <v>339</v>
      </c>
      <c r="E17">
        <v>7</v>
      </c>
      <c r="F17" t="str">
        <f>CHOOSE(Table18[[#This Row],[SCORE]],$B$4,$B$5,$B$6,$B$7,$B$8,$B$9,$B$10,$B$11,B$12)</f>
        <v>POOR</v>
      </c>
    </row>
    <row r="18" spans="4:6">
      <c r="D18" t="s">
        <v>340</v>
      </c>
      <c r="E18">
        <v>3</v>
      </c>
      <c r="F18" t="str">
        <f>CHOOSE(Table18[[#This Row],[SCORE]],$B$4,$B$5,$B$6,$B$7,$B$8,$B$9,$B$10,$B$11,B$12)</f>
        <v>V.GOOD</v>
      </c>
    </row>
    <row r="19" spans="4:6">
      <c r="D19" t="s">
        <v>341</v>
      </c>
      <c r="E19">
        <v>7</v>
      </c>
      <c r="F19" t="str">
        <f>CHOOSE(Table18[[#This Row],[SCORE]],$B$4,$B$5,$B$6,$B$7,$B$8,$B$9,$B$10,$B$11,B$12)</f>
        <v>POOR</v>
      </c>
    </row>
    <row r="20" spans="4:6">
      <c r="D20" t="s">
        <v>342</v>
      </c>
      <c r="E20">
        <v>8</v>
      </c>
      <c r="F20" t="str">
        <f>CHOOSE(Table18[[#This Row],[SCORE]],$B$4,$B$5,$B$6,$B$7,$B$8,$B$9,$B$10,$B$11,B$12)</f>
        <v>POOR</v>
      </c>
    </row>
    <row r="21" spans="4:6">
      <c r="D21" t="s">
        <v>343</v>
      </c>
      <c r="E21">
        <v>1</v>
      </c>
      <c r="F21" t="str">
        <f>CHOOSE(Table18[[#This Row],[SCORE]],$B$4,$B$5,$B$6,$B$7,$B$8,$B$9,$B$10,$B$11,B$12)</f>
        <v>EXCELLENT</v>
      </c>
    </row>
    <row r="22" spans="4:6">
      <c r="D22" t="s">
        <v>344</v>
      </c>
      <c r="E22">
        <v>5</v>
      </c>
      <c r="F22" t="str">
        <f>CHOOSE(Table18[[#This Row],[SCORE]],$B$4,$B$5,$B$6,$B$7,$B$8,$B$9,$B$10,$B$11,B$12)</f>
        <v>GOOD</v>
      </c>
    </row>
    <row r="23" spans="4:6">
      <c r="D23" t="s">
        <v>345</v>
      </c>
      <c r="E23">
        <v>5</v>
      </c>
      <c r="F23" t="str">
        <f>CHOOSE(Table18[[#This Row],[SCORE]],$B$4,$B$5,$B$6,$B$7,$B$8,$B$9,$B$10,$B$11,B$12)</f>
        <v>GOOD</v>
      </c>
    </row>
  </sheetData>
  <mergeCells count="1">
    <mergeCell ref="E1:G1"/>
  </mergeCells>
  <conditionalFormatting sqref="E5:E23">
    <cfRule type="cellIs" dxfId="32" priority="1" operator="equal">
      <formula>9</formula>
    </cfRule>
  </conditionalFormatting>
  <pageMargins left="0.7" right="0.7" top="0.75" bottom="0.75" header="0.3" footer="0.3"/>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zoomScale="71" zoomScaleNormal="71" workbookViewId="0">
      <selection activeCell="S9" sqref="S9"/>
    </sheetView>
  </sheetViews>
  <sheetFormatPr defaultColWidth="9" defaultRowHeight="14.5"/>
  <cols>
    <col min="1" max="1" width="10.26953125" customWidth="1"/>
    <col min="2" max="2" width="10.1796875" customWidth="1"/>
    <col min="3" max="3" width="8.36328125" customWidth="1"/>
  </cols>
  <sheetData>
    <row r="1" spans="1:8" ht="21">
      <c r="F1" s="48" t="s">
        <v>346</v>
      </c>
      <c r="G1" s="48"/>
      <c r="H1" s="48"/>
    </row>
    <row r="3" spans="1:8">
      <c r="A3" t="s">
        <v>131</v>
      </c>
      <c r="B3" t="s">
        <v>347</v>
      </c>
      <c r="C3" t="s">
        <v>172</v>
      </c>
    </row>
    <row r="4" spans="1:8">
      <c r="A4" t="s">
        <v>348</v>
      </c>
      <c r="B4">
        <v>592</v>
      </c>
      <c r="C4">
        <v>2101</v>
      </c>
    </row>
    <row r="5" spans="1:8">
      <c r="A5" t="s">
        <v>349</v>
      </c>
      <c r="B5">
        <v>630</v>
      </c>
      <c r="C5">
        <v>3555</v>
      </c>
    </row>
    <row r="6" spans="1:8">
      <c r="A6" t="s">
        <v>350</v>
      </c>
      <c r="B6">
        <v>527</v>
      </c>
      <c r="C6">
        <v>2309</v>
      </c>
    </row>
    <row r="7" spans="1:8">
      <c r="A7" t="s">
        <v>351</v>
      </c>
      <c r="B7">
        <v>545</v>
      </c>
      <c r="C7">
        <v>2284</v>
      </c>
    </row>
    <row r="8" spans="1:8">
      <c r="A8" t="s">
        <v>352</v>
      </c>
      <c r="B8">
        <v>582</v>
      </c>
      <c r="C8">
        <v>1699</v>
      </c>
    </row>
    <row r="9" spans="1:8">
      <c r="A9" t="s">
        <v>353</v>
      </c>
      <c r="B9">
        <v>476</v>
      </c>
      <c r="C9">
        <v>2884</v>
      </c>
    </row>
    <row r="10" spans="1:8">
      <c r="A10" t="s">
        <v>354</v>
      </c>
      <c r="B10">
        <v>458</v>
      </c>
      <c r="C10">
        <v>2025</v>
      </c>
    </row>
    <row r="11" spans="1:8">
      <c r="A11" t="s">
        <v>355</v>
      </c>
      <c r="B11">
        <v>448</v>
      </c>
      <c r="C11">
        <v>1546</v>
      </c>
    </row>
    <row r="12" spans="1:8">
      <c r="A12" t="s">
        <v>356</v>
      </c>
      <c r="B12">
        <v>686</v>
      </c>
      <c r="C12">
        <v>3063</v>
      </c>
    </row>
    <row r="13" spans="1:8">
      <c r="A13" t="s">
        <v>357</v>
      </c>
      <c r="B13">
        <v>641</v>
      </c>
      <c r="C13">
        <v>2494</v>
      </c>
    </row>
    <row r="14" spans="1:8">
      <c r="A14" t="s">
        <v>358</v>
      </c>
      <c r="B14">
        <v>696</v>
      </c>
      <c r="C14">
        <v>4131</v>
      </c>
    </row>
    <row r="15" spans="1:8">
      <c r="A15" t="s">
        <v>359</v>
      </c>
      <c r="B15">
        <v>474</v>
      </c>
      <c r="C15">
        <v>2299</v>
      </c>
    </row>
    <row r="16" spans="1:8">
      <c r="A16" t="s">
        <v>348</v>
      </c>
      <c r="B16">
        <v>689</v>
      </c>
      <c r="C16">
        <v>3057</v>
      </c>
    </row>
    <row r="17" spans="1:3">
      <c r="A17" t="s">
        <v>349</v>
      </c>
      <c r="B17">
        <v>446</v>
      </c>
      <c r="C17">
        <v>3352</v>
      </c>
    </row>
    <row r="18" spans="1:3">
      <c r="A18" t="s">
        <v>350</v>
      </c>
      <c r="B18">
        <v>623</v>
      </c>
      <c r="C18">
        <v>1283</v>
      </c>
    </row>
    <row r="19" spans="1:3">
      <c r="A19" t="s">
        <v>351</v>
      </c>
      <c r="B19">
        <v>506</v>
      </c>
      <c r="C19">
        <v>3363</v>
      </c>
    </row>
    <row r="20" spans="1:3">
      <c r="A20" t="s">
        <v>352</v>
      </c>
      <c r="B20">
        <v>613</v>
      </c>
      <c r="C20">
        <v>1338</v>
      </c>
    </row>
  </sheetData>
  <mergeCells count="1">
    <mergeCell ref="F1:H1"/>
  </mergeCells>
  <pageMargins left="0.7" right="0.7" top="0.75" bottom="0.75" header="0.3" footer="0.3"/>
  <drawing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opLeftCell="A2" zoomScale="86" zoomScaleNormal="86" workbookViewId="0">
      <selection activeCell="M15" sqref="M15"/>
    </sheetView>
  </sheetViews>
  <sheetFormatPr defaultColWidth="9" defaultRowHeight="14.5"/>
  <cols>
    <col min="1" max="2" width="11.81640625" customWidth="1"/>
    <col min="3" max="3" width="10.7265625" customWidth="1"/>
  </cols>
  <sheetData>
    <row r="1" spans="1:12" ht="21">
      <c r="G1" s="48" t="s">
        <v>280</v>
      </c>
      <c r="H1" s="48"/>
    </row>
    <row r="3" spans="1:12">
      <c r="A3" t="s">
        <v>360</v>
      </c>
      <c r="B3" t="s">
        <v>361</v>
      </c>
    </row>
    <row r="4" spans="1:12">
      <c r="A4">
        <v>1</v>
      </c>
      <c r="B4">
        <v>55000</v>
      </c>
      <c r="D4" t="s">
        <v>284</v>
      </c>
      <c r="E4" s="1">
        <v>0.4</v>
      </c>
      <c r="G4" t="s">
        <v>362</v>
      </c>
      <c r="H4" s="1">
        <v>0.15</v>
      </c>
    </row>
    <row r="5" spans="1:12">
      <c r="A5">
        <v>2</v>
      </c>
      <c r="B5">
        <v>44000</v>
      </c>
      <c r="D5" t="s">
        <v>283</v>
      </c>
      <c r="E5" s="1">
        <v>0.38</v>
      </c>
      <c r="G5" t="s">
        <v>286</v>
      </c>
      <c r="H5" s="1">
        <v>0.1</v>
      </c>
    </row>
    <row r="6" spans="1:12">
      <c r="A6">
        <v>3</v>
      </c>
      <c r="B6">
        <v>33000</v>
      </c>
      <c r="D6" t="s">
        <v>285</v>
      </c>
      <c r="E6" s="1">
        <v>0.2</v>
      </c>
    </row>
    <row r="7" spans="1:12">
      <c r="A7">
        <v>4</v>
      </c>
      <c r="B7">
        <v>22000</v>
      </c>
      <c r="D7" t="s">
        <v>363</v>
      </c>
      <c r="E7" s="1">
        <v>0.18</v>
      </c>
    </row>
    <row r="9" spans="1:12">
      <c r="A9" t="s">
        <v>364</v>
      </c>
      <c r="B9" t="s">
        <v>360</v>
      </c>
      <c r="C9" t="s">
        <v>365</v>
      </c>
      <c r="D9" t="s">
        <v>361</v>
      </c>
      <c r="E9" t="s">
        <v>284</v>
      </c>
      <c r="F9" t="s">
        <v>285</v>
      </c>
      <c r="G9" t="s">
        <v>283</v>
      </c>
      <c r="H9" t="s">
        <v>363</v>
      </c>
      <c r="I9" t="s">
        <v>366</v>
      </c>
      <c r="J9" t="s">
        <v>362</v>
      </c>
      <c r="K9" t="s">
        <v>286</v>
      </c>
      <c r="L9" t="s">
        <v>367</v>
      </c>
    </row>
    <row r="10" spans="1:12">
      <c r="A10" t="s">
        <v>368</v>
      </c>
      <c r="B10">
        <v>2</v>
      </c>
      <c r="C10" t="s">
        <v>369</v>
      </c>
      <c r="D10">
        <f>VLOOKUP(Table20[[#This Row],[CATEGORY]],Table19[#All],2,FALSE)</f>
        <v>44000</v>
      </c>
      <c r="E10">
        <f>Table20[[#This Row],[BASIC]]*$E$4</f>
        <v>17600</v>
      </c>
      <c r="F10">
        <f>Table20[[#This Row],[BASIC]]*$E$6</f>
        <v>8800</v>
      </c>
      <c r="G10">
        <f>Table20[[#This Row],[BASIC]]*$E$5</f>
        <v>16720</v>
      </c>
      <c r="H10">
        <f>Table20[[#This Row],[BASIC]]*$E$7</f>
        <v>7920</v>
      </c>
      <c r="I10">
        <f>(Table20[[#This Row],[BASIC]]+Table20[[#This Row],[DA]]+Table20[[#This Row],[HRA]]+Table20[[#This Row],[MED]])-Table20[[#This Row],[TA]]</f>
        <v>77440</v>
      </c>
      <c r="J10">
        <f>Table20[[#This Row],[GROSS]]*$H$4</f>
        <v>11616</v>
      </c>
      <c r="K10">
        <f>Table20[[#This Row],[GROSS]]*$H$5</f>
        <v>7744</v>
      </c>
      <c r="L10">
        <f>Table20[[#This Row],[GROSS]]-Table20[[#This Row],[IT]]-Table20[[#This Row],[PF]]</f>
        <v>58080</v>
      </c>
    </row>
    <row r="11" spans="1:12">
      <c r="A11" t="s">
        <v>370</v>
      </c>
      <c r="B11">
        <v>4</v>
      </c>
      <c r="C11" t="s">
        <v>371</v>
      </c>
      <c r="D11">
        <f>VLOOKUP(Table20[[#This Row],[CATEGORY]],Table19[#All],2,FALSE)</f>
        <v>22000</v>
      </c>
      <c r="E11">
        <f>Table20[[#This Row],[BASIC]]*$E$4</f>
        <v>8800</v>
      </c>
      <c r="F11">
        <f>Table20[[#This Row],[BASIC]]*$E$6</f>
        <v>4400</v>
      </c>
      <c r="G11">
        <f>Table20[[#This Row],[BASIC]]*$E$5</f>
        <v>8360</v>
      </c>
      <c r="H11">
        <f>Table20[[#This Row],[BASIC]]*$E$7</f>
        <v>3960</v>
      </c>
      <c r="I11">
        <f>(Table20[[#This Row],[BASIC]]+Table20[[#This Row],[DA]]+Table20[[#This Row],[HRA]]+Table20[[#This Row],[MED]])-Table20[[#This Row],[TA]]</f>
        <v>38720</v>
      </c>
      <c r="J11">
        <f>Table20[[#This Row],[GROSS]]*$H$4</f>
        <v>5808</v>
      </c>
      <c r="K11">
        <f>Table20[[#This Row],[GROSS]]*$H$5</f>
        <v>3872</v>
      </c>
      <c r="L11">
        <f>Table20[[#This Row],[GROSS]]-Table20[[#This Row],[IT]]-Table20[[#This Row],[PF]]</f>
        <v>29040</v>
      </c>
    </row>
    <row r="12" spans="1:12">
      <c r="A12" t="s">
        <v>372</v>
      </c>
      <c r="B12">
        <v>2</v>
      </c>
      <c r="C12" t="s">
        <v>369</v>
      </c>
      <c r="D12">
        <f>VLOOKUP(Table20[[#This Row],[CATEGORY]],Table19[#All],2,FALSE)</f>
        <v>44000</v>
      </c>
      <c r="E12">
        <f>Table20[[#This Row],[BASIC]]*$E$4</f>
        <v>17600</v>
      </c>
      <c r="F12">
        <f>Table20[[#This Row],[BASIC]]*$E$6</f>
        <v>8800</v>
      </c>
      <c r="G12">
        <f>Table20[[#This Row],[BASIC]]*$E$5</f>
        <v>16720</v>
      </c>
      <c r="H12">
        <f>Table20[[#This Row],[BASIC]]*$E$7</f>
        <v>7920</v>
      </c>
      <c r="I12">
        <f>(Table20[[#This Row],[BASIC]]+Table20[[#This Row],[DA]]+Table20[[#This Row],[HRA]]+Table20[[#This Row],[MED]])-Table20[[#This Row],[TA]]</f>
        <v>77440</v>
      </c>
      <c r="J12">
        <f>Table20[[#This Row],[GROSS]]*$H$4</f>
        <v>11616</v>
      </c>
      <c r="K12">
        <f>Table20[[#This Row],[GROSS]]*$H$5</f>
        <v>7744</v>
      </c>
      <c r="L12">
        <f>Table20[[#This Row],[GROSS]]-Table20[[#This Row],[IT]]-Table20[[#This Row],[PF]]</f>
        <v>58080</v>
      </c>
    </row>
    <row r="13" spans="1:12">
      <c r="A13" t="s">
        <v>373</v>
      </c>
      <c r="B13">
        <v>3</v>
      </c>
      <c r="C13" t="s">
        <v>369</v>
      </c>
      <c r="D13">
        <f>VLOOKUP(Table20[[#This Row],[CATEGORY]],Table19[#All],2,FALSE)</f>
        <v>33000</v>
      </c>
      <c r="E13">
        <f>Table20[[#This Row],[BASIC]]*$E$4</f>
        <v>13200</v>
      </c>
      <c r="F13">
        <f>Table20[[#This Row],[BASIC]]*$E$6</f>
        <v>6600</v>
      </c>
      <c r="G13">
        <f>Table20[[#This Row],[BASIC]]*$E$5</f>
        <v>12540</v>
      </c>
      <c r="H13">
        <f>Table20[[#This Row],[BASIC]]*$E$7</f>
        <v>5940</v>
      </c>
      <c r="I13">
        <f>(Table20[[#This Row],[BASIC]]+Table20[[#This Row],[DA]]+Table20[[#This Row],[HRA]]+Table20[[#This Row],[MED]])-Table20[[#This Row],[TA]]</f>
        <v>58080</v>
      </c>
      <c r="J13">
        <f>Table20[[#This Row],[GROSS]]*$H$4</f>
        <v>8712</v>
      </c>
      <c r="K13">
        <f>Table20[[#This Row],[GROSS]]*$H$5</f>
        <v>5808</v>
      </c>
      <c r="L13">
        <f>Table20[[#This Row],[GROSS]]-Table20[[#This Row],[IT]]-Table20[[#This Row],[PF]]</f>
        <v>43560</v>
      </c>
    </row>
    <row r="14" spans="1:12">
      <c r="A14" t="s">
        <v>374</v>
      </c>
      <c r="B14">
        <v>2</v>
      </c>
      <c r="C14" t="s">
        <v>369</v>
      </c>
      <c r="D14">
        <f>VLOOKUP(Table20[[#This Row],[CATEGORY]],Table19[#All],2,FALSE)</f>
        <v>44000</v>
      </c>
      <c r="E14">
        <f>Table20[[#This Row],[BASIC]]*$E$4</f>
        <v>17600</v>
      </c>
      <c r="F14">
        <f>Table20[[#This Row],[BASIC]]*$E$6</f>
        <v>8800</v>
      </c>
      <c r="G14">
        <f>Table20[[#This Row],[BASIC]]*$E$5</f>
        <v>16720</v>
      </c>
      <c r="H14">
        <f>Table20[[#This Row],[BASIC]]*$E$7</f>
        <v>7920</v>
      </c>
      <c r="I14">
        <f>(Table20[[#This Row],[BASIC]]+Table20[[#This Row],[DA]]+Table20[[#This Row],[HRA]]+Table20[[#This Row],[MED]])-Table20[[#This Row],[TA]]</f>
        <v>77440</v>
      </c>
      <c r="J14">
        <f>Table20[[#This Row],[GROSS]]*$H$4</f>
        <v>11616</v>
      </c>
      <c r="K14">
        <f>Table20[[#This Row],[GROSS]]*$H$5</f>
        <v>7744</v>
      </c>
      <c r="L14">
        <f>Table20[[#This Row],[GROSS]]-Table20[[#This Row],[IT]]-Table20[[#This Row],[PF]]</f>
        <v>58080</v>
      </c>
    </row>
    <row r="15" spans="1:12">
      <c r="A15" t="s">
        <v>375</v>
      </c>
      <c r="B15">
        <v>2</v>
      </c>
      <c r="C15" t="s">
        <v>371</v>
      </c>
      <c r="D15">
        <f>VLOOKUP(Table20[[#This Row],[CATEGORY]],Table19[#All],2,FALSE)</f>
        <v>44000</v>
      </c>
      <c r="E15">
        <f>Table20[[#This Row],[BASIC]]*$E$4</f>
        <v>17600</v>
      </c>
      <c r="F15">
        <f>Table20[[#This Row],[BASIC]]*$E$6</f>
        <v>8800</v>
      </c>
      <c r="G15">
        <f>Table20[[#This Row],[BASIC]]*$E$5</f>
        <v>16720</v>
      </c>
      <c r="H15">
        <f>Table20[[#This Row],[BASIC]]*$E$7</f>
        <v>7920</v>
      </c>
      <c r="I15">
        <f>(Table20[[#This Row],[BASIC]]+Table20[[#This Row],[DA]]+Table20[[#This Row],[HRA]]+Table20[[#This Row],[MED]])-Table20[[#This Row],[TA]]</f>
        <v>77440</v>
      </c>
      <c r="J15">
        <f>Table20[[#This Row],[GROSS]]*$H$4</f>
        <v>11616</v>
      </c>
      <c r="K15">
        <f>Table20[[#This Row],[GROSS]]*$H$5</f>
        <v>7744</v>
      </c>
      <c r="L15">
        <f>Table20[[#This Row],[GROSS]]-Table20[[#This Row],[IT]]-Table20[[#This Row],[PF]]</f>
        <v>58080</v>
      </c>
    </row>
    <row r="16" spans="1:12">
      <c r="A16" t="s">
        <v>376</v>
      </c>
      <c r="B16">
        <v>3</v>
      </c>
      <c r="C16" t="s">
        <v>371</v>
      </c>
      <c r="D16">
        <f>VLOOKUP(Table20[[#This Row],[CATEGORY]],Table19[#All],2,FALSE)</f>
        <v>33000</v>
      </c>
      <c r="E16">
        <f>Table20[[#This Row],[BASIC]]*$E$4</f>
        <v>13200</v>
      </c>
      <c r="F16">
        <f>Table20[[#This Row],[BASIC]]*$E$6</f>
        <v>6600</v>
      </c>
      <c r="G16">
        <f>Table20[[#This Row],[BASIC]]*$E$5</f>
        <v>12540</v>
      </c>
      <c r="H16">
        <f>Table20[[#This Row],[BASIC]]*$E$7</f>
        <v>5940</v>
      </c>
      <c r="I16">
        <f>(Table20[[#This Row],[BASIC]]+Table20[[#This Row],[DA]]+Table20[[#This Row],[HRA]]+Table20[[#This Row],[MED]])-Table20[[#This Row],[TA]]</f>
        <v>58080</v>
      </c>
      <c r="J16">
        <f>Table20[[#This Row],[GROSS]]*$H$4</f>
        <v>8712</v>
      </c>
      <c r="K16">
        <f>Table20[[#This Row],[GROSS]]*$H$5</f>
        <v>5808</v>
      </c>
      <c r="L16">
        <f>Table20[[#This Row],[GROSS]]-Table20[[#This Row],[IT]]-Table20[[#This Row],[PF]]</f>
        <v>43560</v>
      </c>
    </row>
    <row r="17" spans="1:12">
      <c r="A17" t="s">
        <v>377</v>
      </c>
      <c r="B17">
        <v>3</v>
      </c>
      <c r="C17" t="s">
        <v>369</v>
      </c>
      <c r="D17">
        <f>VLOOKUP(Table20[[#This Row],[CATEGORY]],Table19[#All],2,FALSE)</f>
        <v>33000</v>
      </c>
      <c r="E17">
        <f>Table20[[#This Row],[BASIC]]*$E$4</f>
        <v>13200</v>
      </c>
      <c r="F17">
        <f>Table20[[#This Row],[BASIC]]*$E$6</f>
        <v>6600</v>
      </c>
      <c r="G17">
        <f>Table20[[#This Row],[BASIC]]*$E$5</f>
        <v>12540</v>
      </c>
      <c r="H17">
        <f>Table20[[#This Row],[BASIC]]*$E$7</f>
        <v>5940</v>
      </c>
      <c r="I17">
        <f>(Table20[[#This Row],[BASIC]]+Table20[[#This Row],[DA]]+Table20[[#This Row],[HRA]]+Table20[[#This Row],[MED]])-Table20[[#This Row],[TA]]</f>
        <v>58080</v>
      </c>
      <c r="J17">
        <f>Table20[[#This Row],[GROSS]]*$H$4</f>
        <v>8712</v>
      </c>
      <c r="K17">
        <f>Table20[[#This Row],[GROSS]]*$H$5</f>
        <v>5808</v>
      </c>
      <c r="L17">
        <f>Table20[[#This Row],[GROSS]]-Table20[[#This Row],[IT]]-Table20[[#This Row],[PF]]</f>
        <v>43560</v>
      </c>
    </row>
    <row r="18" spans="1:12">
      <c r="A18" t="s">
        <v>378</v>
      </c>
      <c r="B18">
        <v>1</v>
      </c>
      <c r="C18" t="s">
        <v>371</v>
      </c>
      <c r="D18">
        <f>VLOOKUP(Table20[[#This Row],[CATEGORY]],Table19[#All],2,FALSE)</f>
        <v>55000</v>
      </c>
      <c r="E18">
        <f>Table20[[#This Row],[BASIC]]*$E$4</f>
        <v>22000</v>
      </c>
      <c r="F18">
        <f>Table20[[#This Row],[BASIC]]*$E$6</f>
        <v>11000</v>
      </c>
      <c r="G18">
        <f>Table20[[#This Row],[BASIC]]*$E$5</f>
        <v>20900</v>
      </c>
      <c r="H18">
        <f>Table20[[#This Row],[BASIC]]*$E$7</f>
        <v>9900</v>
      </c>
      <c r="I18">
        <f>(Table20[[#This Row],[BASIC]]+Table20[[#This Row],[DA]]+Table20[[#This Row],[HRA]]+Table20[[#This Row],[MED]])-Table20[[#This Row],[TA]]</f>
        <v>96800</v>
      </c>
      <c r="J18">
        <f>Table20[[#This Row],[GROSS]]*$H$4</f>
        <v>14520</v>
      </c>
      <c r="K18">
        <f>Table20[[#This Row],[GROSS]]*$H$5</f>
        <v>9680</v>
      </c>
      <c r="L18">
        <f>Table20[[#This Row],[GROSS]]-Table20[[#This Row],[IT]]-Table20[[#This Row],[PF]]</f>
        <v>72600</v>
      </c>
    </row>
    <row r="19" spans="1:12">
      <c r="A19" t="s">
        <v>379</v>
      </c>
      <c r="B19">
        <v>4</v>
      </c>
      <c r="C19" t="s">
        <v>369</v>
      </c>
      <c r="D19">
        <f>VLOOKUP(Table20[[#This Row],[CATEGORY]],Table19[#All],2,FALSE)</f>
        <v>22000</v>
      </c>
      <c r="E19">
        <f>Table20[[#This Row],[BASIC]]*$E$4</f>
        <v>8800</v>
      </c>
      <c r="F19">
        <f>Table20[[#This Row],[BASIC]]*$E$6</f>
        <v>4400</v>
      </c>
      <c r="G19">
        <f>Table20[[#This Row],[BASIC]]*$E$5</f>
        <v>8360</v>
      </c>
      <c r="H19">
        <f>Table20[[#This Row],[BASIC]]*$E$7</f>
        <v>3960</v>
      </c>
      <c r="I19">
        <f>(Table20[[#This Row],[BASIC]]+Table20[[#This Row],[DA]]+Table20[[#This Row],[HRA]]+Table20[[#This Row],[MED]])-Table20[[#This Row],[TA]]</f>
        <v>38720</v>
      </c>
      <c r="J19">
        <f>Table20[[#This Row],[GROSS]]*$H$4</f>
        <v>5808</v>
      </c>
      <c r="K19">
        <f>Table20[[#This Row],[GROSS]]*$H$5</f>
        <v>3872</v>
      </c>
      <c r="L19">
        <f>Table20[[#This Row],[GROSS]]-Table20[[#This Row],[IT]]-Table20[[#This Row],[PF]]</f>
        <v>29040</v>
      </c>
    </row>
    <row r="20" spans="1:12">
      <c r="A20" t="s">
        <v>380</v>
      </c>
      <c r="B20">
        <v>1</v>
      </c>
      <c r="C20" t="s">
        <v>371</v>
      </c>
      <c r="D20">
        <f>VLOOKUP(Table20[[#This Row],[CATEGORY]],Table19[#All],2,FALSE)</f>
        <v>55000</v>
      </c>
      <c r="E20">
        <f>Table20[[#This Row],[BASIC]]*$E$4</f>
        <v>22000</v>
      </c>
      <c r="F20">
        <f>Table20[[#This Row],[BASIC]]*$E$6</f>
        <v>11000</v>
      </c>
      <c r="G20">
        <f>Table20[[#This Row],[BASIC]]*$E$5</f>
        <v>20900</v>
      </c>
      <c r="H20">
        <f>Table20[[#This Row],[BASIC]]*$E$7</f>
        <v>9900</v>
      </c>
      <c r="I20">
        <f>(Table20[[#This Row],[BASIC]]+Table20[[#This Row],[DA]]+Table20[[#This Row],[HRA]]+Table20[[#This Row],[MED]])-Table20[[#This Row],[TA]]</f>
        <v>96800</v>
      </c>
      <c r="J20">
        <f>Table20[[#This Row],[GROSS]]*$H$4</f>
        <v>14520</v>
      </c>
      <c r="K20">
        <f>Table20[[#This Row],[GROSS]]*$H$5</f>
        <v>9680</v>
      </c>
      <c r="L20">
        <f>Table20[[#This Row],[GROSS]]-Table20[[#This Row],[IT]]-Table20[[#This Row],[PF]]</f>
        <v>72600</v>
      </c>
    </row>
    <row r="21" spans="1:12">
      <c r="A21" t="s">
        <v>381</v>
      </c>
      <c r="B21">
        <v>2</v>
      </c>
      <c r="C21" t="s">
        <v>371</v>
      </c>
      <c r="D21">
        <f>VLOOKUP(Table20[[#This Row],[CATEGORY]],Table19[#All],2,FALSE)</f>
        <v>44000</v>
      </c>
      <c r="E21">
        <f>Table20[[#This Row],[BASIC]]*$E$4</f>
        <v>17600</v>
      </c>
      <c r="F21">
        <f>Table20[[#This Row],[BASIC]]*$E$6</f>
        <v>8800</v>
      </c>
      <c r="G21">
        <f>Table20[[#This Row],[BASIC]]*$E$5</f>
        <v>16720</v>
      </c>
      <c r="H21">
        <f>Table20[[#This Row],[BASIC]]*$E$7</f>
        <v>7920</v>
      </c>
      <c r="I21">
        <f>(Table20[[#This Row],[BASIC]]+Table20[[#This Row],[DA]]+Table20[[#This Row],[HRA]]+Table20[[#This Row],[MED]])-Table20[[#This Row],[TA]]</f>
        <v>77440</v>
      </c>
      <c r="J21">
        <f>Table20[[#This Row],[GROSS]]*$H$4</f>
        <v>11616</v>
      </c>
      <c r="K21">
        <f>Table20[[#This Row],[GROSS]]*$H$5</f>
        <v>7744</v>
      </c>
      <c r="L21">
        <f>Table20[[#This Row],[GROSS]]-Table20[[#This Row],[IT]]-Table20[[#This Row],[PF]]</f>
        <v>58080</v>
      </c>
    </row>
    <row r="22" spans="1:12">
      <c r="A22" t="s">
        <v>382</v>
      </c>
      <c r="B22">
        <v>4</v>
      </c>
      <c r="C22" t="s">
        <v>369</v>
      </c>
      <c r="D22">
        <f>VLOOKUP(Table20[[#This Row],[CATEGORY]],Table19[#All],2,FALSE)</f>
        <v>22000</v>
      </c>
      <c r="E22">
        <f>Table20[[#This Row],[BASIC]]*$E$4</f>
        <v>8800</v>
      </c>
      <c r="F22">
        <f>Table20[[#This Row],[BASIC]]*$E$6</f>
        <v>4400</v>
      </c>
      <c r="G22">
        <f>Table20[[#This Row],[BASIC]]*$E$5</f>
        <v>8360</v>
      </c>
      <c r="H22">
        <f>Table20[[#This Row],[BASIC]]*$E$7</f>
        <v>3960</v>
      </c>
      <c r="I22">
        <f>(Table20[[#This Row],[BASIC]]+Table20[[#This Row],[DA]]+Table20[[#This Row],[HRA]]+Table20[[#This Row],[MED]])-Table20[[#This Row],[TA]]</f>
        <v>38720</v>
      </c>
      <c r="J22">
        <f>Table20[[#This Row],[GROSS]]*$H$4</f>
        <v>5808</v>
      </c>
      <c r="K22">
        <f>Table20[[#This Row],[GROSS]]*$H$5</f>
        <v>3872</v>
      </c>
      <c r="L22">
        <f>Table20[[#This Row],[GROSS]]-Table20[[#This Row],[IT]]-Table20[[#This Row],[PF]]</f>
        <v>29040</v>
      </c>
    </row>
    <row r="23" spans="1:12">
      <c r="A23" t="s">
        <v>371</v>
      </c>
      <c r="B23">
        <v>1</v>
      </c>
      <c r="C23" t="s">
        <v>371</v>
      </c>
      <c r="D23">
        <f>VLOOKUP(Table20[[#This Row],[CATEGORY]],Table19[#All],2,FALSE)</f>
        <v>55000</v>
      </c>
      <c r="E23">
        <f>Table20[[#This Row],[BASIC]]*$E$4</f>
        <v>22000</v>
      </c>
      <c r="F23">
        <f>Table20[[#This Row],[BASIC]]*$E$6</f>
        <v>11000</v>
      </c>
      <c r="G23">
        <f>Table20[[#This Row],[BASIC]]*$E$5</f>
        <v>20900</v>
      </c>
      <c r="H23">
        <f>Table20[[#This Row],[BASIC]]*$E$7</f>
        <v>9900</v>
      </c>
      <c r="I23">
        <f>(Table20[[#This Row],[BASIC]]+Table20[[#This Row],[DA]]+Table20[[#This Row],[HRA]]+Table20[[#This Row],[MED]])-Table20[[#This Row],[TA]]</f>
        <v>96800</v>
      </c>
      <c r="J23">
        <f>Table20[[#This Row],[GROSS]]*$H$4</f>
        <v>14520</v>
      </c>
      <c r="K23">
        <f>Table20[[#This Row],[GROSS]]*$H$5</f>
        <v>9680</v>
      </c>
      <c r="L23">
        <f>Table20[[#This Row],[GROSS]]-Table20[[#This Row],[IT]]-Table20[[#This Row],[PF]]</f>
        <v>72600</v>
      </c>
    </row>
    <row r="24" spans="1:12">
      <c r="A24" t="s">
        <v>368</v>
      </c>
      <c r="B24">
        <v>2</v>
      </c>
      <c r="C24" t="s">
        <v>369</v>
      </c>
      <c r="D24">
        <f>VLOOKUP(Table20[[#This Row],[CATEGORY]],Table19[#All],2,FALSE)</f>
        <v>44000</v>
      </c>
      <c r="E24">
        <f>Table20[[#This Row],[BASIC]]*$E$4</f>
        <v>17600</v>
      </c>
      <c r="F24">
        <f>Table20[[#This Row],[BASIC]]*$E$6</f>
        <v>8800</v>
      </c>
      <c r="G24">
        <f>Table20[[#This Row],[BASIC]]*$E$5</f>
        <v>16720</v>
      </c>
      <c r="H24">
        <f>Table20[[#This Row],[BASIC]]*$E$7</f>
        <v>7920</v>
      </c>
      <c r="I24">
        <f>(Table20[[#This Row],[BASIC]]+Table20[[#This Row],[DA]]+Table20[[#This Row],[HRA]]+Table20[[#This Row],[MED]])-Table20[[#This Row],[TA]]</f>
        <v>77440</v>
      </c>
      <c r="J24">
        <f>Table20[[#This Row],[GROSS]]*$H$4</f>
        <v>11616</v>
      </c>
      <c r="K24">
        <f>Table20[[#This Row],[GROSS]]*$H$5</f>
        <v>7744</v>
      </c>
      <c r="L24">
        <f>Table20[[#This Row],[GROSS]]-Table20[[#This Row],[IT]]-Table20[[#This Row],[PF]]</f>
        <v>58080</v>
      </c>
    </row>
    <row r="25" spans="1:12">
      <c r="A25" t="s">
        <v>370</v>
      </c>
      <c r="B25">
        <v>4</v>
      </c>
      <c r="C25" t="s">
        <v>371</v>
      </c>
      <c r="D25">
        <f>VLOOKUP(Table20[[#This Row],[CATEGORY]],Table19[#All],2,FALSE)</f>
        <v>22000</v>
      </c>
      <c r="E25">
        <f>Table20[[#This Row],[BASIC]]*$E$4</f>
        <v>8800</v>
      </c>
      <c r="F25">
        <f>Table20[[#This Row],[BASIC]]*$E$6</f>
        <v>4400</v>
      </c>
      <c r="G25">
        <f>Table20[[#This Row],[BASIC]]*$E$5</f>
        <v>8360</v>
      </c>
      <c r="H25">
        <f>Table20[[#This Row],[BASIC]]*$E$7</f>
        <v>3960</v>
      </c>
      <c r="I25">
        <f>(Table20[[#This Row],[BASIC]]+Table20[[#This Row],[DA]]+Table20[[#This Row],[HRA]]+Table20[[#This Row],[MED]])-Table20[[#This Row],[TA]]</f>
        <v>38720</v>
      </c>
      <c r="J25">
        <f>Table20[[#This Row],[GROSS]]*$H$4</f>
        <v>5808</v>
      </c>
      <c r="K25">
        <f>Table20[[#This Row],[GROSS]]*$H$5</f>
        <v>3872</v>
      </c>
      <c r="L25">
        <f>Table20[[#This Row],[GROSS]]-Table20[[#This Row],[IT]]-Table20[[#This Row],[PF]]</f>
        <v>29040</v>
      </c>
    </row>
  </sheetData>
  <mergeCells count="1">
    <mergeCell ref="G1:H1"/>
  </mergeCells>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zoomScale="55" zoomScaleNormal="55" workbookViewId="0">
      <selection activeCell="J49" sqref="J49"/>
    </sheetView>
  </sheetViews>
  <sheetFormatPr defaultColWidth="9" defaultRowHeight="14.5"/>
  <cols>
    <col min="1" max="1" width="12.26953125" customWidth="1"/>
    <col min="2" max="2" width="13.54296875" customWidth="1"/>
    <col min="4" max="4" width="11.90625" customWidth="1"/>
    <col min="5" max="5" width="17.08984375" customWidth="1"/>
    <col min="6" max="6" width="10.26953125" customWidth="1"/>
    <col min="7" max="7" width="26.1796875" customWidth="1"/>
    <col min="8" max="8" width="21.36328125" customWidth="1"/>
    <col min="9" max="9" width="19.90625" customWidth="1"/>
    <col min="10" max="10" width="28.36328125" customWidth="1"/>
  </cols>
  <sheetData>
    <row r="1" spans="1:9" ht="21">
      <c r="F1" s="48" t="s">
        <v>383</v>
      </c>
      <c r="G1" s="48"/>
    </row>
    <row r="3" spans="1:9">
      <c r="A3" t="s">
        <v>384</v>
      </c>
      <c r="B3" t="s">
        <v>385</v>
      </c>
      <c r="C3" t="s">
        <v>219</v>
      </c>
      <c r="D3" t="s">
        <v>386</v>
      </c>
      <c r="E3" t="s">
        <v>387</v>
      </c>
    </row>
    <row r="4" spans="1:9">
      <c r="A4" t="s">
        <v>263</v>
      </c>
      <c r="B4" t="s">
        <v>160</v>
      </c>
      <c r="C4">
        <v>74193</v>
      </c>
      <c r="D4">
        <v>29</v>
      </c>
      <c r="E4">
        <f>Table21[[#This Row],[RATE]]*Table21[[#This Row],[SOLD ITEM]]</f>
        <v>2151597</v>
      </c>
    </row>
    <row r="5" spans="1:9">
      <c r="A5" t="s">
        <v>388</v>
      </c>
      <c r="B5" t="s">
        <v>160</v>
      </c>
      <c r="C5">
        <v>43213</v>
      </c>
      <c r="D5">
        <v>32</v>
      </c>
      <c r="E5">
        <f>Table21[[#This Row],[RATE]]*Table21[[#This Row],[SOLD ITEM]]</f>
        <v>1382816</v>
      </c>
      <c r="G5" t="s">
        <v>389</v>
      </c>
      <c r="H5" t="s">
        <v>390</v>
      </c>
      <c r="I5" t="s">
        <v>391</v>
      </c>
    </row>
    <row r="6" spans="1:9">
      <c r="A6" t="s">
        <v>392</v>
      </c>
      <c r="B6" t="s">
        <v>160</v>
      </c>
      <c r="C6">
        <v>37199</v>
      </c>
      <c r="D6">
        <v>17</v>
      </c>
      <c r="E6">
        <f>Table21[[#This Row],[RATE]]*Table21[[#This Row],[SOLD ITEM]]</f>
        <v>632383</v>
      </c>
      <c r="G6">
        <f>SUMIF(Table21[ITEM],B4,Table21[TOTAL SALES (Rs)])</f>
        <v>10498621</v>
      </c>
      <c r="H6">
        <f>SUMIF(Table21[ITEM],B35,Table21[TOTAL SALES (Rs)])</f>
        <v>11507656</v>
      </c>
      <c r="I6">
        <f>SUMIF(Table21[ITEM],B37,Table21[TOTAL SALES (Rs)])</f>
        <v>11585749</v>
      </c>
    </row>
    <row r="7" spans="1:9">
      <c r="A7" t="s">
        <v>393</v>
      </c>
      <c r="B7" t="s">
        <v>394</v>
      </c>
      <c r="C7">
        <v>71573</v>
      </c>
      <c r="D7">
        <v>19</v>
      </c>
      <c r="E7">
        <f>Table21[[#This Row],[RATE]]*Table21[[#This Row],[SOLD ITEM]]</f>
        <v>1359887</v>
      </c>
    </row>
    <row r="8" spans="1:9">
      <c r="A8" t="s">
        <v>395</v>
      </c>
      <c r="B8" t="s">
        <v>394</v>
      </c>
      <c r="C8">
        <v>16970</v>
      </c>
      <c r="D8">
        <v>26</v>
      </c>
      <c r="E8">
        <f>Table21[[#This Row],[RATE]]*Table21[[#This Row],[SOLD ITEM]]</f>
        <v>441220</v>
      </c>
      <c r="G8" t="s">
        <v>304</v>
      </c>
      <c r="H8" t="s">
        <v>396</v>
      </c>
    </row>
    <row r="9" spans="1:9">
      <c r="A9" t="s">
        <v>333</v>
      </c>
      <c r="B9" t="s">
        <v>397</v>
      </c>
      <c r="C9">
        <v>37043</v>
      </c>
      <c r="D9">
        <v>14</v>
      </c>
      <c r="E9">
        <f>Table21[[#This Row],[RATE]]*Table21[[#This Row],[SOLD ITEM]]</f>
        <v>518602</v>
      </c>
      <c r="G9" t="s">
        <v>263</v>
      </c>
      <c r="H9">
        <f>SUMIF(Table21[SALES MAN],A4,Table21[TOTAL SALES (Rs)])</f>
        <v>3553645</v>
      </c>
    </row>
    <row r="10" spans="1:9">
      <c r="A10" t="s">
        <v>264</v>
      </c>
      <c r="B10" t="s">
        <v>279</v>
      </c>
      <c r="C10">
        <v>48594</v>
      </c>
      <c r="D10">
        <v>18</v>
      </c>
      <c r="E10">
        <f>Table21[[#This Row],[RATE]]*Table21[[#This Row],[SOLD ITEM]]</f>
        <v>874692</v>
      </c>
      <c r="G10" t="s">
        <v>388</v>
      </c>
      <c r="H10">
        <f>SUMIF(Table21[SALES MAN],A5,Table21[TOTAL SALES (Rs)])</f>
        <v>1382816</v>
      </c>
    </row>
    <row r="11" spans="1:9">
      <c r="A11" t="s">
        <v>393</v>
      </c>
      <c r="B11" t="s">
        <v>279</v>
      </c>
      <c r="C11">
        <v>29396</v>
      </c>
      <c r="D11">
        <v>49</v>
      </c>
      <c r="E11">
        <f>Table21[[#This Row],[RATE]]*Table21[[#This Row],[SOLD ITEM]]</f>
        <v>1440404</v>
      </c>
      <c r="G11" t="s">
        <v>392</v>
      </c>
      <c r="H11">
        <f>SUMIF(Table21[SALES MAN],A6,Table21[TOTAL SALES (Rs)])</f>
        <v>632383</v>
      </c>
    </row>
    <row r="12" spans="1:9">
      <c r="A12" t="s">
        <v>395</v>
      </c>
      <c r="B12" t="s">
        <v>160</v>
      </c>
      <c r="C12">
        <v>53184</v>
      </c>
      <c r="D12">
        <v>40</v>
      </c>
      <c r="E12">
        <f>Table21[[#This Row],[RATE]]*Table21[[#This Row],[SOLD ITEM]]</f>
        <v>2127360</v>
      </c>
      <c r="G12" t="s">
        <v>393</v>
      </c>
      <c r="H12">
        <f>SUMIF(Table21[SALES MAN],A7,Table21[TOTAL SALES (Rs)])</f>
        <v>2800291</v>
      </c>
    </row>
    <row r="13" spans="1:9">
      <c r="A13" t="s">
        <v>264</v>
      </c>
      <c r="B13" t="s">
        <v>397</v>
      </c>
      <c r="C13">
        <v>50321</v>
      </c>
      <c r="D13">
        <v>35</v>
      </c>
      <c r="E13">
        <f>Table21[[#This Row],[RATE]]*Table21[[#This Row],[SOLD ITEM]]</f>
        <v>1761235</v>
      </c>
      <c r="G13" t="s">
        <v>395</v>
      </c>
      <c r="H13">
        <f>SUMIF(Table21[SALES MAN],A8,Table21[TOTAL SALES (Rs)])</f>
        <v>4573895</v>
      </c>
    </row>
    <row r="14" spans="1:9">
      <c r="A14" t="s">
        <v>398</v>
      </c>
      <c r="B14" t="s">
        <v>397</v>
      </c>
      <c r="C14">
        <v>65947</v>
      </c>
      <c r="D14">
        <v>23</v>
      </c>
      <c r="E14">
        <f>Table21[[#This Row],[RATE]]*Table21[[#This Row],[SOLD ITEM]]</f>
        <v>1516781</v>
      </c>
      <c r="G14" t="s">
        <v>333</v>
      </c>
      <c r="H14">
        <f>SUMIF(Table21[SALES MAN],A9,Table21[TOTAL SALES (Rs)])</f>
        <v>518602</v>
      </c>
    </row>
    <row r="15" spans="1:9">
      <c r="A15" t="s">
        <v>399</v>
      </c>
      <c r="B15" t="s">
        <v>397</v>
      </c>
      <c r="C15">
        <v>67054</v>
      </c>
      <c r="D15">
        <v>25</v>
      </c>
      <c r="E15">
        <f>Table21[[#This Row],[RATE]]*Table21[[#This Row],[SOLD ITEM]]</f>
        <v>1676350</v>
      </c>
      <c r="G15" t="s">
        <v>264</v>
      </c>
      <c r="H15">
        <f>SUMIF(Table21[SALES MAN],A13,Table21[TOTAL SALES (Rs)])</f>
        <v>2635927</v>
      </c>
    </row>
    <row r="16" spans="1:9">
      <c r="A16" t="s">
        <v>302</v>
      </c>
      <c r="B16" t="s">
        <v>394</v>
      </c>
      <c r="C16">
        <v>65819</v>
      </c>
      <c r="D16">
        <v>39</v>
      </c>
      <c r="E16">
        <f>Table21[[#This Row],[RATE]]*Table21[[#This Row],[SOLD ITEM]]</f>
        <v>2566941</v>
      </c>
      <c r="G16" t="s">
        <v>398</v>
      </c>
      <c r="H16">
        <f>SUMIF(Table21[SALES MAN],A14,Table21[TOTAL SALES (Rs)])</f>
        <v>1516781</v>
      </c>
    </row>
    <row r="17" spans="1:8">
      <c r="A17" t="s">
        <v>263</v>
      </c>
      <c r="B17" t="s">
        <v>279</v>
      </c>
      <c r="C17">
        <v>73792</v>
      </c>
      <c r="D17">
        <v>19</v>
      </c>
      <c r="E17">
        <f>Table21[[#This Row],[RATE]]*Table21[[#This Row],[SOLD ITEM]]</f>
        <v>1402048</v>
      </c>
      <c r="G17" t="s">
        <v>399</v>
      </c>
      <c r="H17">
        <f>SUMIF(Table21[SALES MAN],A15,Table21[TOTAL SALES (Rs)])</f>
        <v>4261788</v>
      </c>
    </row>
    <row r="18" spans="1:8">
      <c r="A18" t="s">
        <v>399</v>
      </c>
      <c r="B18" t="s">
        <v>279</v>
      </c>
      <c r="C18">
        <v>30734</v>
      </c>
      <c r="D18">
        <v>37</v>
      </c>
      <c r="E18">
        <f>Table21[[#This Row],[RATE]]*Table21[[#This Row],[SOLD ITEM]]</f>
        <v>1137158</v>
      </c>
      <c r="G18" t="s">
        <v>302</v>
      </c>
      <c r="H18">
        <f>SUMIF(Table21[SALES MAN],A16,Table21[TOTAL SALES (Rs)])</f>
        <v>3908741</v>
      </c>
    </row>
    <row r="19" spans="1:8">
      <c r="A19" t="s">
        <v>400</v>
      </c>
      <c r="B19" t="s">
        <v>394</v>
      </c>
      <c r="C19">
        <v>79654</v>
      </c>
      <c r="D19">
        <v>32</v>
      </c>
      <c r="E19">
        <f>Table21[[#This Row],[RATE]]*Table21[[#This Row],[SOLD ITEM]]</f>
        <v>2548928</v>
      </c>
      <c r="G19" t="s">
        <v>400</v>
      </c>
      <c r="H19">
        <f>SUMIF(Table21[SALES MAN],Table21[[#This Row],[SALES MAN]],Table21[TOTAL SALES (Rs)])</f>
        <v>5912861</v>
      </c>
    </row>
    <row r="20" spans="1:8">
      <c r="A20" t="s">
        <v>401</v>
      </c>
      <c r="B20" t="s">
        <v>394</v>
      </c>
      <c r="C20">
        <v>40059</v>
      </c>
      <c r="D20">
        <v>9</v>
      </c>
      <c r="E20">
        <f>Table21[[#This Row],[RATE]]*Table21[[#This Row],[SOLD ITEM]]</f>
        <v>360531</v>
      </c>
      <c r="G20" t="s">
        <v>401</v>
      </c>
      <c r="H20">
        <f>SUMIF(Table21[SALES MAN],Table21[[#This Row],[SALES MAN]],Table21[TOTAL SALES (Rs)])</f>
        <v>360531</v>
      </c>
    </row>
    <row r="21" spans="1:8">
      <c r="A21" t="s">
        <v>402</v>
      </c>
      <c r="B21" t="s">
        <v>160</v>
      </c>
      <c r="C21">
        <v>32983</v>
      </c>
      <c r="D21">
        <v>25</v>
      </c>
      <c r="E21">
        <f>Table21[[#This Row],[RATE]]*Table21[[#This Row],[SOLD ITEM]]</f>
        <v>824575</v>
      </c>
      <c r="G21" t="s">
        <v>402</v>
      </c>
      <c r="H21">
        <f>SUMIF(Table21[SALES MAN],Table21[[#This Row],[SALES MAN]],Table21[TOTAL SALES (Rs)])</f>
        <v>824575</v>
      </c>
    </row>
    <row r="22" spans="1:8">
      <c r="A22" t="s">
        <v>403</v>
      </c>
      <c r="B22" t="s">
        <v>160</v>
      </c>
      <c r="C22">
        <v>10656</v>
      </c>
      <c r="D22">
        <v>13</v>
      </c>
      <c r="E22">
        <f>Table21[[#This Row],[RATE]]*Table21[[#This Row],[SOLD ITEM]]</f>
        <v>138528</v>
      </c>
      <c r="G22" t="s">
        <v>403</v>
      </c>
      <c r="H22">
        <f>SUMIF(Table21[SALES MAN],Table21[[#This Row],[SALES MAN]],Table21[TOTAL SALES (Rs)])</f>
        <v>1450302</v>
      </c>
    </row>
    <row r="23" spans="1:8">
      <c r="A23" t="s">
        <v>395</v>
      </c>
      <c r="B23" t="s">
        <v>394</v>
      </c>
      <c r="C23">
        <v>46532</v>
      </c>
      <c r="D23">
        <v>17</v>
      </c>
      <c r="E23">
        <f>Table21[[#This Row],[RATE]]*Table21[[#This Row],[SOLD ITEM]]</f>
        <v>791044</v>
      </c>
      <c r="G23" t="s">
        <v>404</v>
      </c>
      <c r="H23">
        <f>SUMIF(Table21[SALES MAN],A26,Table21[TOTAL SALES (Rs)])</f>
        <v>4733260</v>
      </c>
    </row>
    <row r="24" spans="1:8">
      <c r="A24" t="s">
        <v>403</v>
      </c>
      <c r="B24" t="s">
        <v>397</v>
      </c>
      <c r="C24">
        <v>30135</v>
      </c>
      <c r="D24">
        <v>8</v>
      </c>
      <c r="E24">
        <f>Table21[[#This Row],[RATE]]*Table21[[#This Row],[SOLD ITEM]]</f>
        <v>241080</v>
      </c>
      <c r="G24" t="s">
        <v>405</v>
      </c>
      <c r="H24">
        <f>SUMIF(Table21[SALES MAN],A27,Table21[TOTAL SALES (Rs)])</f>
        <v>3131850</v>
      </c>
    </row>
    <row r="25" spans="1:8">
      <c r="A25" t="s">
        <v>395</v>
      </c>
      <c r="B25" t="s">
        <v>397</v>
      </c>
      <c r="C25">
        <v>63909</v>
      </c>
      <c r="D25">
        <v>19</v>
      </c>
      <c r="E25">
        <f>Table21[[#This Row],[RATE]]*Table21[[#This Row],[SOLD ITEM]]</f>
        <v>1214271</v>
      </c>
      <c r="G25" t="s">
        <v>406</v>
      </c>
      <c r="H25">
        <f>SUMIF(Table21[SALES MAN],A28,Table21[TOTAL SALES (Rs)])</f>
        <v>812944</v>
      </c>
    </row>
    <row r="26" spans="1:8">
      <c r="A26" t="s">
        <v>404</v>
      </c>
      <c r="B26" t="s">
        <v>407</v>
      </c>
      <c r="C26">
        <v>77188</v>
      </c>
      <c r="D26">
        <v>37</v>
      </c>
      <c r="E26">
        <f>Table21[[#This Row],[RATE]]*Table21[[#This Row],[SOLD ITEM]]</f>
        <v>2855956</v>
      </c>
      <c r="G26" t="s">
        <v>408</v>
      </c>
      <c r="H26">
        <f>SUMIF(Table21[SALES MAN],A29,Table21[TOTAL SALES (Rs)])</f>
        <v>1650426</v>
      </c>
    </row>
    <row r="27" spans="1:8">
      <c r="A27" t="s">
        <v>405</v>
      </c>
      <c r="B27" t="s">
        <v>407</v>
      </c>
      <c r="C27">
        <v>65015</v>
      </c>
      <c r="D27">
        <v>38</v>
      </c>
      <c r="E27">
        <f>Table21[[#This Row],[RATE]]*Table21[[#This Row],[SOLD ITEM]]</f>
        <v>2470570</v>
      </c>
      <c r="G27" t="s">
        <v>409</v>
      </c>
      <c r="H27">
        <f>SUMIF(Table21[SALES MAN],A30,Table21[TOTAL SALES (Rs)])</f>
        <v>179047</v>
      </c>
    </row>
    <row r="28" spans="1:8">
      <c r="A28" t="s">
        <v>406</v>
      </c>
      <c r="B28" t="s">
        <v>407</v>
      </c>
      <c r="C28">
        <v>50809</v>
      </c>
      <c r="D28">
        <v>16</v>
      </c>
      <c r="E28">
        <f>Table21[[#This Row],[RATE]]*Table21[[#This Row],[SOLD ITEM]]</f>
        <v>812944</v>
      </c>
      <c r="G28" t="s">
        <v>410</v>
      </c>
      <c r="H28">
        <f>SUMIF(Table21[SALES MAN],A31,Table21[TOTAL SALES (Rs)])</f>
        <v>1965796</v>
      </c>
    </row>
    <row r="29" spans="1:8">
      <c r="A29" t="s">
        <v>408</v>
      </c>
      <c r="B29" t="s">
        <v>160</v>
      </c>
      <c r="C29">
        <v>70134</v>
      </c>
      <c r="D29">
        <v>9</v>
      </c>
      <c r="E29">
        <f>Table21[[#This Row],[RATE]]*Table21[[#This Row],[SOLD ITEM]]</f>
        <v>631206</v>
      </c>
      <c r="G29" t="s">
        <v>411</v>
      </c>
      <c r="H29">
        <f>SUMIF(Table21[SALES MAN],A32,Table21[TOTAL SALES (Rs)])</f>
        <v>762720</v>
      </c>
    </row>
    <row r="30" spans="1:8">
      <c r="A30" t="s">
        <v>409</v>
      </c>
      <c r="B30" t="s">
        <v>279</v>
      </c>
      <c r="C30">
        <v>16277</v>
      </c>
      <c r="D30">
        <v>11</v>
      </c>
      <c r="E30">
        <f>Table21[[#This Row],[RATE]]*Table21[[#This Row],[SOLD ITEM]]</f>
        <v>179047</v>
      </c>
      <c r="G30" t="s">
        <v>412</v>
      </c>
      <c r="H30">
        <f>SUMIF(Table21[SALES MAN],A33,Table21[TOTAL SALES (Rs)])</f>
        <v>975149</v>
      </c>
    </row>
    <row r="31" spans="1:8">
      <c r="A31" t="s">
        <v>410</v>
      </c>
      <c r="B31" t="s">
        <v>397</v>
      </c>
      <c r="C31">
        <v>49340</v>
      </c>
      <c r="D31">
        <v>21</v>
      </c>
      <c r="E31">
        <f>Table21[[#This Row],[RATE]]*Table21[[#This Row],[SOLD ITEM]]</f>
        <v>1036140</v>
      </c>
      <c r="G31" t="s">
        <v>413</v>
      </c>
      <c r="H31">
        <f>SUMIF(Table21[SALES MAN],A35,Table21[TOTAL SALES (Rs)])</f>
        <v>1334585</v>
      </c>
    </row>
    <row r="32" spans="1:8">
      <c r="A32" t="s">
        <v>411</v>
      </c>
      <c r="B32" t="s">
        <v>394</v>
      </c>
      <c r="C32">
        <v>25424</v>
      </c>
      <c r="D32">
        <v>30</v>
      </c>
      <c r="E32">
        <f>Table21[[#This Row],[RATE]]*Table21[[#This Row],[SOLD ITEM]]</f>
        <v>762720</v>
      </c>
      <c r="G32" t="s">
        <v>414</v>
      </c>
      <c r="H32">
        <f>SUMIF(Table21[SALES MAN],A36,Table21[TOTAL SALES (Rs)])</f>
        <v>553910</v>
      </c>
    </row>
    <row r="33" spans="1:8">
      <c r="A33" t="s">
        <v>412</v>
      </c>
      <c r="B33" t="s">
        <v>407</v>
      </c>
      <c r="C33">
        <v>19901</v>
      </c>
      <c r="D33">
        <v>49</v>
      </c>
      <c r="E33">
        <f>Table21[[#This Row],[RATE]]*Table21[[#This Row],[SOLD ITEM]]</f>
        <v>975149</v>
      </c>
      <c r="G33" t="s">
        <v>415</v>
      </c>
      <c r="H33">
        <f>SUMIF(Table21[SALES MAN],A37,Table21[TOTAL SALES (Rs)])</f>
        <v>1783297</v>
      </c>
    </row>
    <row r="34" spans="1:8">
      <c r="A34" t="s">
        <v>302</v>
      </c>
      <c r="B34" t="s">
        <v>394</v>
      </c>
      <c r="C34">
        <v>67090</v>
      </c>
      <c r="D34">
        <v>20</v>
      </c>
      <c r="E34">
        <f>Table21[[#This Row],[RATE]]*Table21[[#This Row],[SOLD ITEM]]</f>
        <v>1341800</v>
      </c>
    </row>
    <row r="35" spans="1:8">
      <c r="A35" t="s">
        <v>413</v>
      </c>
      <c r="B35" t="s">
        <v>394</v>
      </c>
      <c r="C35">
        <v>38131</v>
      </c>
      <c r="D35">
        <v>35</v>
      </c>
      <c r="E35">
        <f>Table21[[#This Row],[RATE]]*Table21[[#This Row],[SOLD ITEM]]</f>
        <v>1334585</v>
      </c>
    </row>
    <row r="36" spans="1:8">
      <c r="A36" t="s">
        <v>414</v>
      </c>
      <c r="B36" t="s">
        <v>397</v>
      </c>
      <c r="C36">
        <v>13510</v>
      </c>
      <c r="D36">
        <v>41</v>
      </c>
      <c r="E36">
        <f>Table21[[#This Row],[RATE]]*Table21[[#This Row],[SOLD ITEM]]</f>
        <v>553910</v>
      </c>
    </row>
    <row r="37" spans="1:8">
      <c r="A37" t="s">
        <v>415</v>
      </c>
      <c r="B37" t="s">
        <v>397</v>
      </c>
      <c r="C37">
        <v>35980</v>
      </c>
      <c r="D37">
        <v>45</v>
      </c>
      <c r="E37">
        <f>Table21[[#This Row],[RATE]]*Table21[[#This Row],[SOLD ITEM]]</f>
        <v>1619100</v>
      </c>
    </row>
    <row r="38" spans="1:8">
      <c r="A38" t="s">
        <v>399</v>
      </c>
      <c r="B38" t="s">
        <v>397</v>
      </c>
      <c r="C38">
        <v>72414</v>
      </c>
      <c r="D38">
        <v>20</v>
      </c>
      <c r="E38">
        <f>Table21[[#This Row],[RATE]]*Table21[[#This Row],[SOLD ITEM]]</f>
        <v>1448280</v>
      </c>
    </row>
    <row r="39" spans="1:8">
      <c r="A39" t="s">
        <v>400</v>
      </c>
      <c r="B39" t="s">
        <v>407</v>
      </c>
      <c r="C39">
        <v>78231</v>
      </c>
      <c r="D39">
        <v>43</v>
      </c>
      <c r="E39">
        <f>Table21[[#This Row],[RATE]]*Table21[[#This Row],[SOLD ITEM]]</f>
        <v>3363933</v>
      </c>
    </row>
    <row r="40" spans="1:8">
      <c r="A40" t="s">
        <v>403</v>
      </c>
      <c r="B40" t="s">
        <v>407</v>
      </c>
      <c r="C40">
        <v>31491</v>
      </c>
      <c r="D40">
        <v>34</v>
      </c>
      <c r="E40">
        <f>Table21[[#This Row],[RATE]]*Table21[[#This Row],[SOLD ITEM]]</f>
        <v>1070694</v>
      </c>
    </row>
    <row r="41" spans="1:8">
      <c r="A41" t="s">
        <v>404</v>
      </c>
      <c r="B41" t="s">
        <v>407</v>
      </c>
      <c r="C41">
        <v>78221</v>
      </c>
      <c r="D41">
        <v>24</v>
      </c>
      <c r="E41">
        <f>Table21[[#This Row],[RATE]]*Table21[[#This Row],[SOLD ITEM]]</f>
        <v>1877304</v>
      </c>
    </row>
    <row r="42" spans="1:8">
      <c r="A42" t="s">
        <v>405</v>
      </c>
      <c r="B42" t="s">
        <v>160</v>
      </c>
      <c r="C42">
        <v>16532</v>
      </c>
      <c r="D42">
        <v>40</v>
      </c>
      <c r="E42">
        <f>Table21[[#This Row],[RATE]]*Table21[[#This Row],[SOLD ITEM]]</f>
        <v>661280</v>
      </c>
    </row>
    <row r="43" spans="1:8">
      <c r="A43" t="s">
        <v>408</v>
      </c>
      <c r="B43" t="s">
        <v>160</v>
      </c>
      <c r="C43">
        <v>50961</v>
      </c>
      <c r="D43">
        <v>20</v>
      </c>
      <c r="E43">
        <f>Table21[[#This Row],[RATE]]*Table21[[#This Row],[SOLD ITEM]]</f>
        <v>1019220</v>
      </c>
    </row>
    <row r="44" spans="1:8">
      <c r="A44" t="s">
        <v>410</v>
      </c>
      <c r="B44" t="s">
        <v>160</v>
      </c>
      <c r="C44">
        <v>66404</v>
      </c>
      <c r="D44">
        <v>14</v>
      </c>
      <c r="E44">
        <f>Table21[[#This Row],[RATE]]*Table21[[#This Row],[SOLD ITEM]]</f>
        <v>929656</v>
      </c>
    </row>
    <row r="45" spans="1:8">
      <c r="A45" t="s">
        <v>415</v>
      </c>
      <c r="B45" t="s">
        <v>407</v>
      </c>
      <c r="C45">
        <v>14927</v>
      </c>
      <c r="D45">
        <v>11</v>
      </c>
      <c r="E45">
        <f>Table21[[#This Row],[RATE]]*Table21[[#This Row],[SOLD ITEM]]</f>
        <v>164197</v>
      </c>
    </row>
  </sheetData>
  <mergeCells count="1">
    <mergeCell ref="F1:G1"/>
  </mergeCells>
  <pageMargins left="0.7" right="0.7" top="0.75" bottom="0.75" header="0.3" footer="0.3"/>
  <drawing r:id="rId1"/>
  <tableParts count="3">
    <tablePart r:id="rId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6"/>
  <sheetViews>
    <sheetView topLeftCell="A8" zoomScale="61" zoomScaleNormal="61" workbookViewId="0">
      <selection activeCell="N27" sqref="N27"/>
    </sheetView>
  </sheetViews>
  <sheetFormatPr defaultColWidth="9" defaultRowHeight="14.5"/>
  <cols>
    <col min="1" max="1" width="9.81640625" bestFit="1" customWidth="1"/>
    <col min="2" max="2" width="9.6328125" bestFit="1" customWidth="1"/>
    <col min="3" max="3" width="9.36328125" bestFit="1" customWidth="1"/>
    <col min="4" max="4" width="11.54296875" bestFit="1" customWidth="1"/>
    <col min="5" max="5" width="10.54296875" bestFit="1" customWidth="1"/>
    <col min="6" max="6" width="11.26953125" bestFit="1" customWidth="1"/>
    <col min="7" max="7" width="8.26953125" bestFit="1" customWidth="1"/>
    <col min="8" max="8" width="16.1796875" bestFit="1" customWidth="1"/>
    <col min="9" max="9" width="12.26953125" bestFit="1" customWidth="1"/>
    <col min="10" max="10" width="10.1796875" bestFit="1" customWidth="1"/>
    <col min="11" max="11" width="9.36328125" bestFit="1" customWidth="1"/>
    <col min="12" max="13" width="22.7265625" customWidth="1"/>
  </cols>
  <sheetData>
    <row r="1" spans="1:14" ht="21">
      <c r="F1" s="48" t="s">
        <v>417</v>
      </c>
      <c r="G1" s="48"/>
      <c r="H1" s="48"/>
    </row>
    <row r="4" spans="1:14">
      <c r="A4" t="s">
        <v>364</v>
      </c>
      <c r="B4" t="s">
        <v>418</v>
      </c>
      <c r="C4" t="s">
        <v>419</v>
      </c>
      <c r="D4" t="s">
        <v>420</v>
      </c>
      <c r="E4" t="s">
        <v>421</v>
      </c>
      <c r="F4" t="s">
        <v>422</v>
      </c>
      <c r="G4" t="s">
        <v>423</v>
      </c>
      <c r="H4" t="s">
        <v>424</v>
      </c>
      <c r="I4" t="s">
        <v>425</v>
      </c>
      <c r="J4" t="s">
        <v>57</v>
      </c>
      <c r="K4" t="s">
        <v>426</v>
      </c>
    </row>
    <row r="5" spans="1:14">
      <c r="A5" t="s">
        <v>427</v>
      </c>
      <c r="B5" t="s">
        <v>428</v>
      </c>
      <c r="C5">
        <v>87</v>
      </c>
      <c r="D5">
        <v>35</v>
      </c>
      <c r="E5">
        <v>47</v>
      </c>
      <c r="F5">
        <v>69</v>
      </c>
      <c r="G5">
        <v>76</v>
      </c>
      <c r="H5">
        <f>SUM(Table23[[#This Row],[HINDI]:[S.S.T]])</f>
        <v>314</v>
      </c>
      <c r="I5">
        <f>AVERAGE(Table23[[#This Row],[HINDI]:[S.S.T]])</f>
        <v>62.8</v>
      </c>
      <c r="J5" t="str">
        <f>IF(Table23[[#This Row],[AVERAGE]]&gt;70,"A",IF(Table23[[#This Row],[AVERAGE]]&gt;50,"B",IF(Table23[[#This Row],[AVERAGE]]&gt;33,"C",IF(Table23[[#This Row],[AVERAGE]]&lt;33,"FAIL"))))</f>
        <v>B</v>
      </c>
      <c r="K5">
        <f>RANK(Table23[[#This Row],[AVERAGE]],Table23[AVERAGE])</f>
        <v>8</v>
      </c>
    </row>
    <row r="6" spans="1:14">
      <c r="A6" t="s">
        <v>222</v>
      </c>
      <c r="B6" t="s">
        <v>429</v>
      </c>
      <c r="C6">
        <v>42</v>
      </c>
      <c r="D6">
        <v>24</v>
      </c>
      <c r="E6">
        <v>84</v>
      </c>
      <c r="F6">
        <v>39</v>
      </c>
      <c r="G6">
        <v>25</v>
      </c>
      <c r="H6">
        <f>SUM(Table23[[#This Row],[HINDI]:[S.S.T]])</f>
        <v>214</v>
      </c>
      <c r="I6">
        <f>AVERAGE(Table23[[#This Row],[HINDI]:[S.S.T]])</f>
        <v>42.8</v>
      </c>
      <c r="J6" t="str">
        <f>IF(Table23[[#This Row],[AVERAGE]]&gt;70,"A",IF(Table23[[#This Row],[AVERAGE]]&gt;50,"B",IF(Table23[[#This Row],[AVERAGE]]&gt;33,"C",IF(Table23[[#This Row],[AVERAGE]]&lt;33,"FAIL"))))</f>
        <v>C</v>
      </c>
      <c r="K6">
        <f>RANK(Table23[[#This Row],[AVERAGE]],Table23[AVERAGE])</f>
        <v>22</v>
      </c>
    </row>
    <row r="7" spans="1:14">
      <c r="A7" t="s">
        <v>301</v>
      </c>
      <c r="B7" t="s">
        <v>430</v>
      </c>
      <c r="C7">
        <v>70</v>
      </c>
      <c r="D7">
        <v>61</v>
      </c>
      <c r="E7">
        <v>27</v>
      </c>
      <c r="F7">
        <v>77</v>
      </c>
      <c r="G7">
        <v>71</v>
      </c>
      <c r="H7">
        <f>SUM(Table23[[#This Row],[HINDI]:[S.S.T]])</f>
        <v>306</v>
      </c>
      <c r="I7">
        <f>AVERAGE(Table23[[#This Row],[HINDI]:[S.S.T]])</f>
        <v>61.2</v>
      </c>
      <c r="J7" t="str">
        <f>IF(Table23[[#This Row],[AVERAGE]]&gt;70,"A",IF(Table23[[#This Row],[AVERAGE]]&gt;50,"B",IF(Table23[[#This Row],[AVERAGE]]&gt;33,"C",IF(Table23[[#This Row],[AVERAGE]]&lt;33,"FAIL"))))</f>
        <v>B</v>
      </c>
      <c r="K7">
        <f>RANK(Table23[[#This Row],[AVERAGE]],Table23[AVERAGE])</f>
        <v>10</v>
      </c>
    </row>
    <row r="8" spans="1:14">
      <c r="A8" t="s">
        <v>191</v>
      </c>
      <c r="B8" t="s">
        <v>431</v>
      </c>
      <c r="C8">
        <v>50</v>
      </c>
      <c r="D8">
        <v>46</v>
      </c>
      <c r="E8">
        <v>26</v>
      </c>
      <c r="F8">
        <v>71</v>
      </c>
      <c r="G8">
        <v>41</v>
      </c>
      <c r="H8">
        <f>SUM(Table23[[#This Row],[HINDI]:[S.S.T]])</f>
        <v>234</v>
      </c>
      <c r="I8">
        <f>AVERAGE(Table23[[#This Row],[HINDI]:[S.S.T]])</f>
        <v>46.8</v>
      </c>
      <c r="J8" t="str">
        <f>IF(Table23[[#This Row],[AVERAGE]]&gt;70,"A",IF(Table23[[#This Row],[AVERAGE]]&gt;50,"B",IF(Table23[[#This Row],[AVERAGE]]&gt;33,"C",IF(Table23[[#This Row],[AVERAGE]]&lt;33,"FAIL"))))</f>
        <v>C</v>
      </c>
      <c r="K8">
        <f>RANK(Table23[[#This Row],[AVERAGE]],Table23[AVERAGE])</f>
        <v>21</v>
      </c>
    </row>
    <row r="9" spans="1:14">
      <c r="A9" t="s">
        <v>432</v>
      </c>
      <c r="B9" t="s">
        <v>429</v>
      </c>
      <c r="C9">
        <v>78</v>
      </c>
      <c r="D9">
        <v>79</v>
      </c>
      <c r="E9">
        <v>77</v>
      </c>
      <c r="F9">
        <v>43</v>
      </c>
      <c r="G9">
        <v>62</v>
      </c>
      <c r="H9">
        <f>SUM(Table23[[#This Row],[HINDI]:[S.S.T]])</f>
        <v>339</v>
      </c>
      <c r="I9">
        <f>AVERAGE(Table23[[#This Row],[HINDI]:[S.S.T]])</f>
        <v>67.8</v>
      </c>
      <c r="J9" t="str">
        <f>IF(Table23[[#This Row],[AVERAGE]]&gt;70,"A",IF(Table23[[#This Row],[AVERAGE]]&gt;50,"B",IF(Table23[[#This Row],[AVERAGE]]&gt;33,"C",IF(Table23[[#This Row],[AVERAGE]]&lt;33,"FAIL"))))</f>
        <v>B</v>
      </c>
      <c r="K9">
        <f>RANK(Table23[[#This Row],[AVERAGE]],Table23[AVERAGE])</f>
        <v>4</v>
      </c>
    </row>
    <row r="10" spans="1:14">
      <c r="A10" t="s">
        <v>416</v>
      </c>
      <c r="B10" t="s">
        <v>428</v>
      </c>
      <c r="C10">
        <v>25</v>
      </c>
      <c r="D10">
        <v>68</v>
      </c>
      <c r="E10">
        <v>75</v>
      </c>
      <c r="F10">
        <v>25</v>
      </c>
      <c r="G10">
        <v>67</v>
      </c>
      <c r="H10">
        <f>SUM(Table23[[#This Row],[HINDI]:[S.S.T]])</f>
        <v>260</v>
      </c>
      <c r="I10">
        <f>AVERAGE(Table23[[#This Row],[HINDI]:[S.S.T]])</f>
        <v>52</v>
      </c>
      <c r="J10" t="str">
        <f>IF(Table23[[#This Row],[AVERAGE]]&gt;70,"A",IF(Table23[[#This Row],[AVERAGE]]&gt;50,"B",IF(Table23[[#This Row],[AVERAGE]]&gt;33,"C",IF(Table23[[#This Row],[AVERAGE]]&lt;33,"FAIL"))))</f>
        <v>B</v>
      </c>
      <c r="K10">
        <f>RANK(Table23[[#This Row],[AVERAGE]],Table23[AVERAGE])</f>
        <v>17</v>
      </c>
    </row>
    <row r="11" spans="1:14">
      <c r="A11" t="s">
        <v>433</v>
      </c>
      <c r="B11" t="s">
        <v>434</v>
      </c>
      <c r="C11">
        <v>55</v>
      </c>
      <c r="D11">
        <v>68</v>
      </c>
      <c r="E11">
        <v>58</v>
      </c>
      <c r="F11">
        <v>28</v>
      </c>
      <c r="G11">
        <v>89</v>
      </c>
      <c r="H11">
        <f>SUM(Table23[[#This Row],[HINDI]:[S.S.T]])</f>
        <v>298</v>
      </c>
      <c r="I11">
        <f>AVERAGE(Table23[[#This Row],[HINDI]:[S.S.T]])</f>
        <v>59.6</v>
      </c>
      <c r="J11" t="str">
        <f>IF(Table23[[#This Row],[AVERAGE]]&gt;70,"A",IF(Table23[[#This Row],[AVERAGE]]&gt;50,"B",IF(Table23[[#This Row],[AVERAGE]]&gt;33,"C",IF(Table23[[#This Row],[AVERAGE]]&lt;33,"FAIL"))))</f>
        <v>B</v>
      </c>
      <c r="K11">
        <f>RANK(Table23[[#This Row],[AVERAGE]],Table23[AVERAGE])</f>
        <v>13</v>
      </c>
    </row>
    <row r="12" spans="1:14">
      <c r="A12" t="s">
        <v>435</v>
      </c>
      <c r="B12" t="s">
        <v>436</v>
      </c>
      <c r="C12">
        <v>76</v>
      </c>
      <c r="D12">
        <v>60</v>
      </c>
      <c r="E12">
        <v>80</v>
      </c>
      <c r="F12">
        <v>49</v>
      </c>
      <c r="G12">
        <v>75</v>
      </c>
      <c r="H12">
        <f>SUM(Table23[[#This Row],[HINDI]:[S.S.T]])</f>
        <v>340</v>
      </c>
      <c r="I12">
        <f>AVERAGE(Table23[[#This Row],[HINDI]:[S.S.T]])</f>
        <v>68</v>
      </c>
      <c r="J12" t="str">
        <f>IF(Table23[[#This Row],[AVERAGE]]&gt;70,"A",IF(Table23[[#This Row],[AVERAGE]]&gt;50,"B",IF(Table23[[#This Row],[AVERAGE]]&gt;33,"C",IF(Table23[[#This Row],[AVERAGE]]&lt;33,"FAIL"))))</f>
        <v>B</v>
      </c>
      <c r="K12">
        <f>RANK(Table23[[#This Row],[AVERAGE]],Table23[AVERAGE])</f>
        <v>3</v>
      </c>
    </row>
    <row r="13" spans="1:14">
      <c r="A13" t="s">
        <v>437</v>
      </c>
      <c r="B13" t="s">
        <v>438</v>
      </c>
      <c r="C13">
        <v>50</v>
      </c>
      <c r="D13">
        <v>66</v>
      </c>
      <c r="E13">
        <v>52</v>
      </c>
      <c r="F13">
        <v>64</v>
      </c>
      <c r="G13">
        <v>81</v>
      </c>
      <c r="H13">
        <f>SUM(Table23[[#This Row],[HINDI]:[S.S.T]])</f>
        <v>313</v>
      </c>
      <c r="I13">
        <f>AVERAGE(Table23[[#This Row],[HINDI]:[S.S.T]])</f>
        <v>62.6</v>
      </c>
      <c r="J13" t="str">
        <f>IF(Table23[[#This Row],[AVERAGE]]&gt;70,"A",IF(Table23[[#This Row],[AVERAGE]]&gt;50,"B",IF(Table23[[#This Row],[AVERAGE]]&gt;33,"C",IF(Table23[[#This Row],[AVERAGE]]&lt;33,"FAIL"))))</f>
        <v>B</v>
      </c>
      <c r="K13">
        <f>RANK(Table23[[#This Row],[AVERAGE]],Table23[AVERAGE])</f>
        <v>9</v>
      </c>
    </row>
    <row r="14" spans="1:14">
      <c r="A14" t="s">
        <v>439</v>
      </c>
      <c r="B14" t="s">
        <v>429</v>
      </c>
      <c r="C14">
        <v>82</v>
      </c>
      <c r="D14">
        <v>32</v>
      </c>
      <c r="E14">
        <v>61</v>
      </c>
      <c r="F14">
        <v>43</v>
      </c>
      <c r="G14">
        <v>30</v>
      </c>
      <c r="H14">
        <f>SUM(Table23[[#This Row],[HINDI]:[S.S.T]])</f>
        <v>248</v>
      </c>
      <c r="I14">
        <f>AVERAGE(Table23[[#This Row],[HINDI]:[S.S.T]])</f>
        <v>49.6</v>
      </c>
      <c r="J14" t="str">
        <f>IF(Table23[[#This Row],[AVERAGE]]&gt;70,"A",IF(Table23[[#This Row],[AVERAGE]]&gt;50,"B",IF(Table23[[#This Row],[AVERAGE]]&gt;33,"C",IF(Table23[[#This Row],[AVERAGE]]&lt;33,"FAIL"))))</f>
        <v>C</v>
      </c>
      <c r="K14">
        <f>RANK(Table23[[#This Row],[AVERAGE]],Table23[AVERAGE])</f>
        <v>20</v>
      </c>
      <c r="M14" s="4" t="s">
        <v>440</v>
      </c>
      <c r="N14" s="4">
        <f>COUNTIF(Table23[GRADE],J21)</f>
        <v>2</v>
      </c>
    </row>
    <row r="15" spans="1:14">
      <c r="A15" t="s">
        <v>441</v>
      </c>
      <c r="B15" t="s">
        <v>428</v>
      </c>
      <c r="C15">
        <v>55</v>
      </c>
      <c r="D15">
        <v>69</v>
      </c>
      <c r="E15">
        <v>72</v>
      </c>
      <c r="F15">
        <v>41</v>
      </c>
      <c r="G15">
        <v>31</v>
      </c>
      <c r="H15">
        <f>SUM(Table23[[#This Row],[HINDI]:[S.S.T]])</f>
        <v>268</v>
      </c>
      <c r="I15">
        <f>AVERAGE(Table23[[#This Row],[HINDI]:[S.S.T]])</f>
        <v>53.6</v>
      </c>
      <c r="J15" t="str">
        <f>IF(Table23[[#This Row],[AVERAGE]]&gt;70,"A",IF(Table23[[#This Row],[AVERAGE]]&gt;50,"B",IF(Table23[[#This Row],[AVERAGE]]&gt;33,"C",IF(Table23[[#This Row],[AVERAGE]]&lt;33,"FAIL"))))</f>
        <v>B</v>
      </c>
      <c r="K15">
        <f>RANK(Table23[[#This Row],[AVERAGE]],Table23[AVERAGE])</f>
        <v>16</v>
      </c>
      <c r="M15" s="4" t="s">
        <v>442</v>
      </c>
      <c r="N15" s="4">
        <f>COUNTIF(J5:J26,J26)</f>
        <v>16</v>
      </c>
    </row>
    <row r="16" spans="1:14">
      <c r="A16" t="s">
        <v>443</v>
      </c>
      <c r="B16" t="s">
        <v>431</v>
      </c>
      <c r="C16">
        <v>88</v>
      </c>
      <c r="D16">
        <v>80</v>
      </c>
      <c r="E16">
        <v>63</v>
      </c>
      <c r="F16">
        <v>20</v>
      </c>
      <c r="G16">
        <v>70</v>
      </c>
      <c r="H16">
        <f>SUM(Table23[[#This Row],[HINDI]:[S.S.T]])</f>
        <v>321</v>
      </c>
      <c r="I16">
        <f>AVERAGE(Table23[[#This Row],[HINDI]:[S.S.T]])</f>
        <v>64.2</v>
      </c>
      <c r="J16" t="str">
        <f>IF(Table23[[#This Row],[AVERAGE]]&gt;70,"A",IF(Table23[[#This Row],[AVERAGE]]&gt;50,"B",IF(Table23[[#This Row],[AVERAGE]]&gt;33,"C",IF(Table23[[#This Row],[AVERAGE]]&lt;33,"FAIL"))))</f>
        <v>B</v>
      </c>
      <c r="K16">
        <f>RANK(Table23[[#This Row],[AVERAGE]],Table23[AVERAGE])</f>
        <v>6</v>
      </c>
      <c r="M16" s="4" t="s">
        <v>444</v>
      </c>
      <c r="N16" s="4">
        <f>COUNT(Table23[TOTAL MARKS])</f>
        <v>22</v>
      </c>
    </row>
    <row r="17" spans="1:11">
      <c r="A17" t="s">
        <v>445</v>
      </c>
      <c r="B17" t="s">
        <v>430</v>
      </c>
      <c r="C17">
        <v>75</v>
      </c>
      <c r="D17">
        <v>30</v>
      </c>
      <c r="E17">
        <v>49</v>
      </c>
      <c r="F17">
        <v>65</v>
      </c>
      <c r="G17">
        <v>81</v>
      </c>
      <c r="H17">
        <f>SUM(Table23[[#This Row],[HINDI]:[S.S.T]])</f>
        <v>300</v>
      </c>
      <c r="I17">
        <f>AVERAGE(Table23[[#This Row],[HINDI]:[S.S.T]])</f>
        <v>60</v>
      </c>
      <c r="J17" t="str">
        <f>IF(Table23[[#This Row],[AVERAGE]]&gt;70,"A",IF(Table23[[#This Row],[AVERAGE]]&gt;50,"B",IF(Table23[[#This Row],[AVERAGE]]&gt;33,"C",IF(Table23[[#This Row],[AVERAGE]]&lt;33,"FAIL"))))</f>
        <v>B</v>
      </c>
      <c r="K17">
        <f>RANK(Table23[[#This Row],[AVERAGE]],Table23[AVERAGE])</f>
        <v>11</v>
      </c>
    </row>
    <row r="18" spans="1:11">
      <c r="A18" t="s">
        <v>268</v>
      </c>
      <c r="B18" t="s">
        <v>431</v>
      </c>
      <c r="C18">
        <v>85</v>
      </c>
      <c r="D18">
        <v>83</v>
      </c>
      <c r="E18">
        <v>71</v>
      </c>
      <c r="F18">
        <v>84</v>
      </c>
      <c r="G18">
        <v>86</v>
      </c>
      <c r="H18" s="24">
        <f>SUM(Table23[[#This Row],[HINDI]:[S.S.T]])</f>
        <v>409</v>
      </c>
      <c r="I18">
        <f>AVERAGE(Table23[[#This Row],[HINDI]:[S.S.T]])</f>
        <v>81.8</v>
      </c>
      <c r="J18" t="str">
        <f>IF(Table23[[#This Row],[AVERAGE]]&gt;70,"A",IF(Table23[[#This Row],[AVERAGE]]&gt;50,"B",IF(Table23[[#This Row],[AVERAGE]]&gt;33,"C",IF(Table23[[#This Row],[AVERAGE]]&lt;33,"FAIL"))))</f>
        <v>A</v>
      </c>
      <c r="K18">
        <f>RANK(Table23[[#This Row],[AVERAGE]],Table23[AVERAGE])</f>
        <v>1</v>
      </c>
    </row>
    <row r="19" spans="1:11">
      <c r="A19" t="s">
        <v>333</v>
      </c>
      <c r="B19" t="s">
        <v>428</v>
      </c>
      <c r="C19">
        <v>69</v>
      </c>
      <c r="D19">
        <v>42</v>
      </c>
      <c r="E19">
        <v>61</v>
      </c>
      <c r="F19">
        <v>87</v>
      </c>
      <c r="G19">
        <v>30</v>
      </c>
      <c r="H19">
        <f>SUM(Table23[[#This Row],[HINDI]:[S.S.T]])</f>
        <v>289</v>
      </c>
      <c r="I19">
        <f>AVERAGE(Table23[[#This Row],[HINDI]:[S.S.T]])</f>
        <v>57.8</v>
      </c>
      <c r="J19" t="str">
        <f>IF(Table23[[#This Row],[AVERAGE]]&gt;70,"A",IF(Table23[[#This Row],[AVERAGE]]&gt;50,"B",IF(Table23[[#This Row],[AVERAGE]]&gt;33,"C",IF(Table23[[#This Row],[AVERAGE]]&lt;33,"FAIL"))))</f>
        <v>B</v>
      </c>
      <c r="K19">
        <f>RANK(Table23[[#This Row],[AVERAGE]],Table23[AVERAGE])</f>
        <v>14</v>
      </c>
    </row>
    <row r="20" spans="1:11">
      <c r="A20" t="s">
        <v>446</v>
      </c>
      <c r="B20" t="s">
        <v>434</v>
      </c>
      <c r="C20">
        <v>56</v>
      </c>
      <c r="D20">
        <v>51</v>
      </c>
      <c r="E20">
        <v>59</v>
      </c>
      <c r="F20">
        <v>78</v>
      </c>
      <c r="G20">
        <v>83</v>
      </c>
      <c r="H20">
        <f>SUM(Table23[[#This Row],[HINDI]:[S.S.T]])</f>
        <v>327</v>
      </c>
      <c r="I20">
        <f>AVERAGE(Table23[[#This Row],[HINDI]:[S.S.T]])</f>
        <v>65.400000000000006</v>
      </c>
      <c r="J20" t="str">
        <f>IF(Table23[[#This Row],[AVERAGE]]&gt;70,"A",IF(Table23[[#This Row],[AVERAGE]]&gt;50,"B",IF(Table23[[#This Row],[AVERAGE]]&gt;33,"C",IF(Table23[[#This Row],[AVERAGE]]&lt;33,"FAIL"))))</f>
        <v>B</v>
      </c>
      <c r="K20">
        <f>RANK(Table23[[#This Row],[AVERAGE]],Table23[AVERAGE])</f>
        <v>5</v>
      </c>
    </row>
    <row r="21" spans="1:11">
      <c r="A21" t="s">
        <v>264</v>
      </c>
      <c r="B21" t="s">
        <v>429</v>
      </c>
      <c r="C21">
        <v>67</v>
      </c>
      <c r="D21">
        <v>90</v>
      </c>
      <c r="E21">
        <v>83</v>
      </c>
      <c r="F21">
        <v>76</v>
      </c>
      <c r="G21">
        <v>50</v>
      </c>
      <c r="H21">
        <f>SUM(Table23[[#This Row],[HINDI]:[S.S.T]])</f>
        <v>366</v>
      </c>
      <c r="I21">
        <f>AVERAGE(Table23[[#This Row],[HINDI]:[S.S.T]])</f>
        <v>73.2</v>
      </c>
      <c r="J21" t="str">
        <f>IF(Table23[[#This Row],[AVERAGE]]&gt;70,"A",IF(Table23[[#This Row],[AVERAGE]]&gt;50,"B",IF(Table23[[#This Row],[AVERAGE]]&gt;33,"C",IF(Table23[[#This Row],[AVERAGE]]&lt;33,"FAIL"))))</f>
        <v>A</v>
      </c>
      <c r="K21">
        <f>RANK(Table23[[#This Row],[AVERAGE]],Table23[AVERAGE])</f>
        <v>2</v>
      </c>
    </row>
    <row r="22" spans="1:11">
      <c r="A22" t="s">
        <v>447</v>
      </c>
      <c r="B22" t="s">
        <v>431</v>
      </c>
      <c r="C22">
        <v>62</v>
      </c>
      <c r="D22">
        <v>32</v>
      </c>
      <c r="E22">
        <v>46</v>
      </c>
      <c r="F22">
        <v>66</v>
      </c>
      <c r="G22">
        <v>47</v>
      </c>
      <c r="H22">
        <f>SUM(Table23[[#This Row],[HINDI]:[S.S.T]])</f>
        <v>253</v>
      </c>
      <c r="I22">
        <f>AVERAGE(Table23[[#This Row],[HINDI]:[S.S.T]])</f>
        <v>50.6</v>
      </c>
      <c r="J22" t="str">
        <f>IF(Table23[[#This Row],[AVERAGE]]&gt;70,"A",IF(Table23[[#This Row],[AVERAGE]]&gt;50,"B",IF(Table23[[#This Row],[AVERAGE]]&gt;33,"C",IF(Table23[[#This Row],[AVERAGE]]&lt;33,"FAIL"))))</f>
        <v>B</v>
      </c>
      <c r="K22">
        <f>RANK(Table23[[#This Row],[AVERAGE]],Table23[AVERAGE])</f>
        <v>18</v>
      </c>
    </row>
    <row r="23" spans="1:11">
      <c r="A23" t="s">
        <v>448</v>
      </c>
      <c r="B23" t="s">
        <v>428</v>
      </c>
      <c r="C23">
        <v>47</v>
      </c>
      <c r="D23">
        <v>81</v>
      </c>
      <c r="E23">
        <v>40</v>
      </c>
      <c r="F23">
        <v>20</v>
      </c>
      <c r="G23">
        <v>88</v>
      </c>
      <c r="H23">
        <f>SUM(Table23[[#This Row],[HINDI]:[S.S.T]])</f>
        <v>276</v>
      </c>
      <c r="I23">
        <f>AVERAGE(Table23[[#This Row],[HINDI]:[S.S.T]])</f>
        <v>55.2</v>
      </c>
      <c r="J23" t="str">
        <f>IF(Table23[[#This Row],[AVERAGE]]&gt;70,"A",IF(Table23[[#This Row],[AVERAGE]]&gt;50,"B",IF(Table23[[#This Row],[AVERAGE]]&gt;33,"C",IF(Table23[[#This Row],[AVERAGE]]&lt;33,"FAIL"))))</f>
        <v>B</v>
      </c>
      <c r="K23">
        <f>RANK(Table23[[#This Row],[AVERAGE]],Table23[AVERAGE])</f>
        <v>15</v>
      </c>
    </row>
    <row r="24" spans="1:11">
      <c r="A24" t="s">
        <v>449</v>
      </c>
      <c r="B24" t="s">
        <v>438</v>
      </c>
      <c r="C24">
        <v>52</v>
      </c>
      <c r="D24">
        <v>67</v>
      </c>
      <c r="E24">
        <v>68</v>
      </c>
      <c r="F24">
        <v>55</v>
      </c>
      <c r="G24">
        <v>73</v>
      </c>
      <c r="H24">
        <f>SUM(Table23[[#This Row],[HINDI]:[S.S.T]])</f>
        <v>315</v>
      </c>
      <c r="I24">
        <f>AVERAGE(Table23[[#This Row],[HINDI]:[S.S.T]])</f>
        <v>63</v>
      </c>
      <c r="J24" t="str">
        <f>IF(Table23[[#This Row],[AVERAGE]]&gt;70,"A",IF(Table23[[#This Row],[AVERAGE]]&gt;50,"B",IF(Table23[[#This Row],[AVERAGE]]&gt;33,"C",IF(Table23[[#This Row],[AVERAGE]]&lt;33,"FAIL"))))</f>
        <v>B</v>
      </c>
      <c r="K24">
        <f>RANK(Table23[[#This Row],[AVERAGE]],Table23[AVERAGE])</f>
        <v>7</v>
      </c>
    </row>
    <row r="25" spans="1:11">
      <c r="A25" t="s">
        <v>450</v>
      </c>
      <c r="B25" t="s">
        <v>434</v>
      </c>
      <c r="C25">
        <v>73</v>
      </c>
      <c r="D25">
        <v>89</v>
      </c>
      <c r="E25">
        <v>23</v>
      </c>
      <c r="F25">
        <v>34</v>
      </c>
      <c r="G25">
        <v>31</v>
      </c>
      <c r="H25">
        <f>SUM(Table23[[#This Row],[HINDI]:[S.S.T]])</f>
        <v>250</v>
      </c>
      <c r="I25">
        <f>AVERAGE(Table23[[#This Row],[HINDI]:[S.S.T]])</f>
        <v>50</v>
      </c>
      <c r="J25" t="str">
        <f>IF(Table23[[#This Row],[AVERAGE]]&gt;70,"A",IF(Table23[[#This Row],[AVERAGE]]&gt;50,"B",IF(Table23[[#This Row],[AVERAGE]]&gt;33,"C",IF(Table23[[#This Row],[AVERAGE]]&lt;33,"FAIL"))))</f>
        <v>C</v>
      </c>
      <c r="K25">
        <f>RANK(Table23[[#This Row],[AVERAGE]],Table23[AVERAGE])</f>
        <v>19</v>
      </c>
    </row>
    <row r="26" spans="1:11">
      <c r="A26" t="s">
        <v>451</v>
      </c>
      <c r="B26" t="s">
        <v>429</v>
      </c>
      <c r="C26">
        <v>86</v>
      </c>
      <c r="D26">
        <v>89</v>
      </c>
      <c r="E26">
        <v>38</v>
      </c>
      <c r="F26">
        <v>37</v>
      </c>
      <c r="G26">
        <v>50</v>
      </c>
      <c r="H26">
        <f>SUM(Table23[[#This Row],[HINDI]:[S.S.T]])</f>
        <v>300</v>
      </c>
      <c r="I26">
        <f>AVERAGE(Table23[[#This Row],[HINDI]:[S.S.T]])</f>
        <v>60</v>
      </c>
      <c r="J26" t="str">
        <f>IF(Table23[[#This Row],[AVERAGE]]&gt;70,"A",IF(Table23[[#This Row],[AVERAGE]]&gt;50,"B",IF(Table23[[#This Row],[AVERAGE]]&gt;33,"C",IF(Table23[[#This Row],[AVERAGE]]&lt;33,"FAIL"))))</f>
        <v>B</v>
      </c>
      <c r="K26">
        <f>RANK(Table23[[#This Row],[AVERAGE]],Table23[AVERAGE])</f>
        <v>11</v>
      </c>
    </row>
  </sheetData>
  <mergeCells count="1">
    <mergeCell ref="F1:H1"/>
  </mergeCells>
  <conditionalFormatting sqref="C5:C26">
    <cfRule type="top10" dxfId="12" priority="8" rank="3"/>
  </conditionalFormatting>
  <conditionalFormatting sqref="C6:C26">
    <cfRule type="cellIs" dxfId="11" priority="4" operator="lessThan">
      <formula>20</formula>
    </cfRule>
  </conditionalFormatting>
  <conditionalFormatting sqref="D5:D26">
    <cfRule type="top10" dxfId="10" priority="7" rank="2"/>
  </conditionalFormatting>
  <conditionalFormatting sqref="D6:D26">
    <cfRule type="cellIs" dxfId="9" priority="3" operator="lessThan">
      <formula>15</formula>
    </cfRule>
  </conditionalFormatting>
  <conditionalFormatting sqref="F5:F26">
    <cfRule type="cellIs" dxfId="8" priority="6" operator="greaterThan">
      <formula>70</formula>
    </cfRule>
  </conditionalFormatting>
  <conditionalFormatting sqref="H5:H26">
    <cfRule type="cellIs" dxfId="7" priority="1" operator="greaterThan">
      <formula>400</formula>
    </cfRule>
    <cfRule type="cellIs" dxfId="6" priority="5" operator="greaterThan">
      <formula>400</formula>
    </cfRule>
  </conditionalFormatting>
  <conditionalFormatting sqref="H18">
    <cfRule type="cellIs" priority="2" operator="greaterThan">
      <formula>400</formula>
    </cfRule>
  </conditionalFormatting>
  <pageMargins left="0.7" right="0.7" top="0.75" bottom="0.75" header="0.3" footer="0.3"/>
  <drawing r:id="rId1"/>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E10" sqref="E10"/>
    </sheetView>
  </sheetViews>
  <sheetFormatPr defaultColWidth="8.7265625" defaultRowHeight="14.5"/>
  <sheetData>
    <row r="1" spans="1:4">
      <c r="C1" t="s">
        <v>452</v>
      </c>
      <c r="D1" t="s">
        <v>453</v>
      </c>
    </row>
    <row r="2" spans="1:4">
      <c r="A2" t="s">
        <v>454</v>
      </c>
      <c r="B2" t="s">
        <v>455</v>
      </c>
      <c r="C2">
        <f>FIND("K",A2)</f>
        <v>4</v>
      </c>
      <c r="D2">
        <f>SEARCH("K",A2)</f>
        <v>4</v>
      </c>
    </row>
    <row r="6" spans="1:4">
      <c r="C6" t="str">
        <f>SUBSTITUTE(A2,"E","H",1)</f>
        <v>MALKHET</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Basic Repport Card</vt:lpstr>
      <vt:lpstr>Mileage</vt:lpstr>
      <vt:lpstr>Grade &amp; Report Card</vt:lpstr>
      <vt:lpstr>3D Growth Chart</vt:lpstr>
      <vt:lpstr>VLook Up</vt:lpstr>
      <vt:lpstr>Speedometer</vt:lpstr>
      <vt:lpstr>GoalSeak</vt:lpstr>
      <vt:lpstr>Sheet8</vt:lpstr>
      <vt:lpstr>Financial Function</vt:lpstr>
      <vt:lpstr>FF 2</vt:lpstr>
      <vt:lpstr>FF3</vt:lpstr>
      <vt:lpstr>Dep</vt:lpstr>
      <vt:lpstr>TEXT &amp; DATE</vt:lpstr>
      <vt:lpstr>V&amp;H LOOKUP</vt:lpstr>
      <vt:lpstr>VLOOK UP 2</vt:lpstr>
      <vt:lpstr>Balance sheet</vt:lpstr>
      <vt:lpstr>PIVOT TABLE</vt:lpstr>
      <vt:lpstr>PT 2</vt:lpstr>
      <vt:lpstr>Sheet4</vt:lpstr>
      <vt:lpstr>Sheet6</vt:lpstr>
      <vt:lpstr>IF OR AND</vt:lpstr>
      <vt:lpstr>DATABASE FUNCTION</vt:lpstr>
      <vt:lpstr>PAYROLL</vt:lpstr>
      <vt:lpstr>DASHBOARD</vt:lpstr>
      <vt:lpstr>MACROS</vt:lpstr>
      <vt:lpstr>VLOOKUP + CHOOSE</vt:lpstr>
      <vt:lpstr>CHOOSE </vt:lpstr>
      <vt:lpstr>CHARTS</vt:lpstr>
      <vt:lpstr>PAYROLL 2</vt:lpstr>
      <vt:lpstr>SUMIF</vt:lpstr>
      <vt:lpstr>STUDENT REPORT</vt:lpstr>
      <vt:lpstr>Sheet7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Simranjeet Kaur</dc:creator>
  <cp:lastModifiedBy>admin</cp:lastModifiedBy>
  <dcterms:created xsi:type="dcterms:W3CDTF">2024-09-17T17:35:00Z</dcterms:created>
  <dcterms:modified xsi:type="dcterms:W3CDTF">2026-04-20T21:26:13Z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D163BA3BBEE145CAA3688B4C6B97E55A_12</vt:lpwstr>
  </property>
  <property fmtid="{D5CDD505-2E9C-101B-9397-08002B2CF9AE}" pid="3" name="KSOProductBuildVer">
    <vt:lpwstr>1033-12.2.0.18607</vt:lpwstr>
  </property>
</Properties>
</file>